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filterPrivacy="1" defaultThemeVersion="202300"/>
  <xr:revisionPtr revIDLastSave="0" documentId="8_{C7CD7D94-1C21-4828-9125-8ED38F0956A8}" xr6:coauthVersionLast="47" xr6:coauthVersionMax="47" xr10:uidLastSave="{00000000-0000-0000-0000-000000000000}"/>
  <bookViews>
    <workbookView xWindow="-108" yWindow="-108" windowWidth="23256" windowHeight="12456" xr2:uid="{0A4446C5-BE1D-4F60-AD05-73DB742FE3F8}"/>
  </bookViews>
  <sheets>
    <sheet name="av values for IHC" sheetId="1" r:id="rId1"/>
    <sheet name="values for control WB" sheetId="2" r:id="rId2"/>
    <sheet name="CNP WB timecourse" sheetId="3" r:id="rId3"/>
    <sheet name="MBP WB timecourse" sheetId="4" r:id="rId4"/>
    <sheet name="GOSE1_2 transfusion" sheetId="5" r:id="rId5"/>
    <sheet name="GOSE3_6 transfusion" sheetId="6" r:id="rId6"/>
    <sheet name="GOSE1_2 DAI" sheetId="8" r:id="rId7"/>
    <sheet name="GOSE3_6 DAI" sheetId="9" r:id="rId8"/>
    <sheet name="GOSE7_8 DAI" sheetId="10" r:id="rId9"/>
    <sheet name="renal data" sheetId="11" r:id="rId10"/>
    <sheet name="coup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2" l="1"/>
  <c r="D71" i="2" s="1"/>
  <c r="C70" i="2"/>
  <c r="D70" i="2" s="1"/>
  <c r="C69" i="2"/>
  <c r="D69" i="2" s="1"/>
  <c r="C68" i="2"/>
  <c r="D68" i="2" s="1"/>
  <c r="C67" i="2"/>
  <c r="D67" i="2" s="1"/>
  <c r="C66" i="2"/>
  <c r="D66" i="2" s="1"/>
  <c r="C65" i="2"/>
  <c r="D65" i="2" s="1"/>
  <c r="D64" i="2"/>
  <c r="C64" i="2"/>
  <c r="D63" i="2"/>
  <c r="C63" i="2"/>
  <c r="C62" i="2"/>
  <c r="D62" i="2" s="1"/>
  <c r="C61" i="2"/>
  <c r="D61" i="2" s="1"/>
  <c r="D60" i="2"/>
  <c r="C60" i="2"/>
  <c r="C59" i="2"/>
  <c r="D59" i="2" s="1"/>
  <c r="C58" i="2"/>
  <c r="D58" i="2" s="1"/>
  <c r="D34" i="2"/>
  <c r="C34" i="2"/>
  <c r="D33" i="2"/>
  <c r="C33" i="2"/>
  <c r="C32" i="2"/>
  <c r="D32" i="2" s="1"/>
  <c r="D31" i="2"/>
  <c r="C31" i="2"/>
  <c r="D30" i="2"/>
  <c r="C30" i="2"/>
  <c r="C29" i="2"/>
  <c r="D29" i="2" s="1"/>
  <c r="C28" i="2"/>
  <c r="D28" i="2" s="1"/>
  <c r="C27" i="2"/>
  <c r="D27" i="2" s="1"/>
  <c r="C26" i="2"/>
  <c r="D26" i="2" s="1"/>
  <c r="C25" i="2"/>
  <c r="D25" i="2" s="1"/>
  <c r="C24" i="2"/>
  <c r="D24" i="2" s="1"/>
  <c r="C23" i="2"/>
  <c r="D23" i="2" s="1"/>
  <c r="C22" i="2"/>
  <c r="D22" i="2" s="1"/>
  <c r="D21" i="2"/>
  <c r="C21" i="2"/>
</calcChain>
</file>

<file path=xl/sharedStrings.xml><?xml version="1.0" encoding="utf-8"?>
<sst xmlns="http://schemas.openxmlformats.org/spreadsheetml/2006/main" count="214" uniqueCount="60">
  <si>
    <t>av CNPase IHC</t>
  </si>
  <si>
    <t>av MBP IHC</t>
  </si>
  <si>
    <t>GOS-E</t>
  </si>
  <si>
    <t>Blot 2 blue 2 170526</t>
  </si>
  <si>
    <t>lane No.</t>
  </si>
  <si>
    <t>ponc intensity</t>
  </si>
  <si>
    <t>CNP analysis</t>
  </si>
  <si>
    <t>ratio CNP/Poncs</t>
  </si>
  <si>
    <t>convert to similar with time 0,1</t>
  </si>
  <si>
    <t>c4</t>
  </si>
  <si>
    <t>c3</t>
  </si>
  <si>
    <t>c2</t>
  </si>
  <si>
    <t>c1</t>
  </si>
  <si>
    <t>A646</t>
  </si>
  <si>
    <t>A623</t>
  </si>
  <si>
    <t>A628</t>
  </si>
  <si>
    <t>12,0</t>
  </si>
  <si>
    <t>12,1</t>
  </si>
  <si>
    <t>12,2</t>
  </si>
  <si>
    <t>12,3</t>
  </si>
  <si>
    <t>12,4</t>
  </si>
  <si>
    <t>different shiba have different CNP and MBP expression so can't used same blot</t>
  </si>
  <si>
    <t>blot 1 sun 030526 44,8 sec</t>
  </si>
  <si>
    <t>MBP analysis</t>
  </si>
  <si>
    <t>ratio MBP/Poncs</t>
  </si>
  <si>
    <t>25,0</t>
  </si>
  <si>
    <t>25,1</t>
  </si>
  <si>
    <t>25,2</t>
  </si>
  <si>
    <t>25,3</t>
  </si>
  <si>
    <t>25,4</t>
  </si>
  <si>
    <t>gose1-2</t>
  </si>
  <si>
    <t>gose3-6</t>
  </si>
  <si>
    <t>gose7-8</t>
  </si>
  <si>
    <t>D0</t>
  </si>
  <si>
    <t>D1</t>
  </si>
  <si>
    <t>D2</t>
  </si>
  <si>
    <t>D3</t>
  </si>
  <si>
    <t>D4</t>
  </si>
  <si>
    <t>D5</t>
  </si>
  <si>
    <t>D6</t>
  </si>
  <si>
    <t>D7</t>
  </si>
  <si>
    <t>gose1-2 non trans</t>
  </si>
  <si>
    <t>gose1-2 trans</t>
  </si>
  <si>
    <t>gose3-6 non trans</t>
  </si>
  <si>
    <t>gose3-6 trans</t>
  </si>
  <si>
    <t>CNP</t>
  </si>
  <si>
    <t>MBP</t>
  </si>
  <si>
    <t>gose1-2 no DAI</t>
  </si>
  <si>
    <t>gose1-2 DAI</t>
  </si>
  <si>
    <t>Gos 1-2</t>
  </si>
  <si>
    <t>Gos 3-6</t>
  </si>
  <si>
    <t>Gos 7-8</t>
  </si>
  <si>
    <t>cretinine</t>
  </si>
  <si>
    <t>urea</t>
  </si>
  <si>
    <t>chloride</t>
  </si>
  <si>
    <t>potassium</t>
  </si>
  <si>
    <t>sodium</t>
  </si>
  <si>
    <t>eGFRsodium</t>
  </si>
  <si>
    <t>Coup</t>
  </si>
  <si>
    <t>not coup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</si>
</sst>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270-143E-459B-BDAF-5D9EF4E45085}">
  <dimension ref="A1:C26"/>
  <sheetViews>
    <sheetView tabSelected="1" workbookViewId="0">
      <selection activeCell="H13" sqref="H13"/>
    </sheetView>
  </sheetViews>
  <sheetFormatPr defaultRowHeight="14.4" x14ac:dyDescent="0.3"/>
  <cols>
    <col min="1" max="1" width="16.33203125" bestFit="1" customWidth="1"/>
    <col min="2" max="2" width="12.6640625" bestFit="1" customWidth="1"/>
  </cols>
  <sheetData>
    <row r="1" spans="1:3" ht="15.6" x14ac:dyDescent="0.3">
      <c r="A1" s="1" t="s">
        <v>0</v>
      </c>
      <c r="B1" s="1" t="s">
        <v>1</v>
      </c>
      <c r="C1" s="1" t="s">
        <v>2</v>
      </c>
    </row>
    <row r="2" spans="1:3" ht="15.6" x14ac:dyDescent="0.3">
      <c r="A2" s="2">
        <v>22243</v>
      </c>
      <c r="B2" s="2">
        <v>15668</v>
      </c>
      <c r="C2" s="2">
        <v>4</v>
      </c>
    </row>
    <row r="3" spans="1:3" ht="15.6" x14ac:dyDescent="0.3">
      <c r="A3" s="2">
        <v>132213</v>
      </c>
      <c r="B3" s="2">
        <v>34672</v>
      </c>
      <c r="C3" s="2">
        <v>7</v>
      </c>
    </row>
    <row r="4" spans="1:3" ht="15.6" x14ac:dyDescent="0.3">
      <c r="A4" s="2">
        <v>53866</v>
      </c>
      <c r="B4" s="2">
        <v>28496</v>
      </c>
      <c r="C4" s="2">
        <v>5</v>
      </c>
    </row>
    <row r="5" spans="1:3" ht="15.6" x14ac:dyDescent="0.3">
      <c r="A5" s="2">
        <v>56651</v>
      </c>
      <c r="B5" s="2">
        <v>43993</v>
      </c>
      <c r="C5" s="2">
        <v>8</v>
      </c>
    </row>
    <row r="6" spans="1:3" ht="15.6" x14ac:dyDescent="0.3">
      <c r="A6" s="2">
        <v>64937</v>
      </c>
      <c r="B6" s="2">
        <v>39000</v>
      </c>
      <c r="C6" s="2">
        <v>7</v>
      </c>
    </row>
    <row r="7" spans="1:3" ht="15.6" x14ac:dyDescent="0.3">
      <c r="A7" s="2">
        <v>11799</v>
      </c>
      <c r="B7" s="2">
        <v>4797</v>
      </c>
      <c r="C7" s="2">
        <v>1</v>
      </c>
    </row>
    <row r="8" spans="1:3" ht="15.6" x14ac:dyDescent="0.3">
      <c r="A8" s="2">
        <v>32277</v>
      </c>
      <c r="B8" s="2">
        <v>4924</v>
      </c>
      <c r="C8" s="2">
        <v>3</v>
      </c>
    </row>
    <row r="9" spans="1:3" ht="15.6" x14ac:dyDescent="0.3">
      <c r="A9" s="2">
        <v>70888</v>
      </c>
      <c r="B9" s="2">
        <v>30641</v>
      </c>
      <c r="C9" s="2">
        <v>8</v>
      </c>
    </row>
    <row r="10" spans="1:3" ht="15.6" x14ac:dyDescent="0.3">
      <c r="A10" s="2">
        <v>7630</v>
      </c>
      <c r="B10" s="2">
        <v>1166</v>
      </c>
      <c r="C10" s="2">
        <v>1</v>
      </c>
    </row>
    <row r="11" spans="1:3" ht="15.6" x14ac:dyDescent="0.3">
      <c r="A11" s="2">
        <v>23045</v>
      </c>
      <c r="B11" s="2">
        <v>26853</v>
      </c>
      <c r="C11" s="2">
        <v>7</v>
      </c>
    </row>
    <row r="12" spans="1:3" ht="15.6" x14ac:dyDescent="0.3">
      <c r="A12" s="2">
        <v>56098</v>
      </c>
      <c r="B12" s="2">
        <v>54784</v>
      </c>
      <c r="C12" s="2">
        <v>8</v>
      </c>
    </row>
    <row r="13" spans="1:3" ht="15.6" x14ac:dyDescent="0.3">
      <c r="A13" s="2">
        <v>29025</v>
      </c>
      <c r="B13" s="2">
        <v>5186</v>
      </c>
      <c r="C13" s="2">
        <v>2</v>
      </c>
    </row>
    <row r="14" spans="1:3" ht="15.6" x14ac:dyDescent="0.3">
      <c r="A14" s="2">
        <v>30537</v>
      </c>
      <c r="B14" s="2">
        <v>19217</v>
      </c>
      <c r="C14" s="2">
        <v>7</v>
      </c>
    </row>
    <row r="15" spans="1:3" ht="15.6" x14ac:dyDescent="0.3">
      <c r="A15" s="2">
        <v>30161</v>
      </c>
      <c r="B15" s="2">
        <v>15310</v>
      </c>
      <c r="C15" s="2">
        <v>3</v>
      </c>
    </row>
    <row r="16" spans="1:3" ht="15.6" x14ac:dyDescent="0.3">
      <c r="A16" s="2">
        <v>58850</v>
      </c>
      <c r="B16" s="2">
        <v>17351</v>
      </c>
      <c r="C16" s="2">
        <v>1</v>
      </c>
    </row>
    <row r="17" spans="1:3" ht="15.6" x14ac:dyDescent="0.3">
      <c r="A17" s="2">
        <v>3054</v>
      </c>
      <c r="B17" s="2">
        <v>6996</v>
      </c>
      <c r="C17" s="2">
        <v>3</v>
      </c>
    </row>
    <row r="18" spans="1:3" ht="15.6" x14ac:dyDescent="0.3">
      <c r="A18" s="2">
        <v>43444</v>
      </c>
      <c r="B18" s="2">
        <v>47942</v>
      </c>
      <c r="C18" s="2">
        <v>4</v>
      </c>
    </row>
    <row r="19" spans="1:3" ht="15.6" x14ac:dyDescent="0.3">
      <c r="A19" s="2">
        <v>38553</v>
      </c>
      <c r="B19" s="2">
        <v>23766</v>
      </c>
      <c r="C19" s="2">
        <v>3</v>
      </c>
    </row>
    <row r="20" spans="1:3" ht="15.6" x14ac:dyDescent="0.3">
      <c r="A20" s="2">
        <v>13319</v>
      </c>
      <c r="B20" s="2">
        <v>3828</v>
      </c>
      <c r="C20" s="2">
        <v>1</v>
      </c>
    </row>
    <row r="21" spans="1:3" ht="15.6" x14ac:dyDescent="0.3">
      <c r="A21" s="2">
        <v>5948</v>
      </c>
      <c r="B21" s="2">
        <v>1273</v>
      </c>
      <c r="C21" s="2">
        <v>2</v>
      </c>
    </row>
    <row r="22" spans="1:3" ht="15.6" x14ac:dyDescent="0.3">
      <c r="A22" s="2">
        <v>28623</v>
      </c>
      <c r="B22" s="2">
        <v>17469</v>
      </c>
      <c r="C22" s="2">
        <v>1</v>
      </c>
    </row>
    <row r="23" spans="1:3" ht="15.6" x14ac:dyDescent="0.3">
      <c r="A23" s="2">
        <v>29898</v>
      </c>
      <c r="B23" s="2">
        <v>17005</v>
      </c>
      <c r="C23" s="2">
        <v>6</v>
      </c>
    </row>
    <row r="24" spans="1:3" ht="15.6" x14ac:dyDescent="0.3">
      <c r="A24" s="2">
        <v>1401</v>
      </c>
      <c r="B24" s="2">
        <v>2058</v>
      </c>
      <c r="C24" s="2">
        <v>1</v>
      </c>
    </row>
    <row r="25" spans="1:3" ht="15.6" x14ac:dyDescent="0.3">
      <c r="A25" s="2">
        <v>88058</v>
      </c>
      <c r="B25" s="2">
        <v>53153</v>
      </c>
      <c r="C25" s="2">
        <v>4</v>
      </c>
    </row>
    <row r="26" spans="1:3" ht="15.6" x14ac:dyDescent="0.3">
      <c r="A26" s="2">
        <v>2808</v>
      </c>
      <c r="B26" s="2">
        <v>2096</v>
      </c>
      <c r="C26" s="2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49E80-F53E-42E4-8D76-BB01CF9F582D}">
  <dimension ref="A1:E71"/>
  <sheetViews>
    <sheetView workbookViewId="0">
      <selection activeCell="H72" sqref="H72"/>
    </sheetView>
  </sheetViews>
  <sheetFormatPr defaultRowHeight="14.4" x14ac:dyDescent="0.3"/>
  <cols>
    <col min="1" max="1" width="8.44140625" bestFit="1" customWidth="1"/>
    <col min="2" max="2" width="13.6640625" bestFit="1" customWidth="1"/>
    <col min="3" max="3" width="15.109375" customWidth="1"/>
    <col min="4" max="4" width="16.5546875" bestFit="1" customWidth="1"/>
  </cols>
  <sheetData>
    <row r="1" spans="1:2" x14ac:dyDescent="0.3">
      <c r="A1" t="s">
        <v>3</v>
      </c>
    </row>
    <row r="2" spans="1:2" x14ac:dyDescent="0.3">
      <c r="A2" t="s">
        <v>4</v>
      </c>
      <c r="B2" t="s">
        <v>5</v>
      </c>
    </row>
    <row r="3" spans="1:2" x14ac:dyDescent="0.3">
      <c r="A3">
        <v>1</v>
      </c>
      <c r="B3" s="3">
        <v>161459.22099999999</v>
      </c>
    </row>
    <row r="4" spans="1:2" x14ac:dyDescent="0.3">
      <c r="A4">
        <v>2</v>
      </c>
      <c r="B4" s="3">
        <v>137347.54300000001</v>
      </c>
    </row>
    <row r="5" spans="1:2" x14ac:dyDescent="0.3">
      <c r="A5">
        <v>3</v>
      </c>
      <c r="B5" s="3">
        <v>138152.59700000001</v>
      </c>
    </row>
    <row r="6" spans="1:2" x14ac:dyDescent="0.3">
      <c r="A6">
        <v>4</v>
      </c>
      <c r="B6" s="3">
        <v>136980.29199999999</v>
      </c>
    </row>
    <row r="7" spans="1:2" x14ac:dyDescent="0.3">
      <c r="A7">
        <v>5</v>
      </c>
      <c r="B7" s="3">
        <v>160052.58499999999</v>
      </c>
    </row>
    <row r="8" spans="1:2" x14ac:dyDescent="0.3">
      <c r="A8">
        <v>6</v>
      </c>
      <c r="B8" s="3">
        <v>176221.848</v>
      </c>
    </row>
    <row r="9" spans="1:2" x14ac:dyDescent="0.3">
      <c r="A9">
        <v>7</v>
      </c>
      <c r="B9" s="3">
        <v>189275.65599999999</v>
      </c>
    </row>
    <row r="10" spans="1:2" x14ac:dyDescent="0.3">
      <c r="A10">
        <v>8</v>
      </c>
      <c r="B10" s="3">
        <v>186359.848</v>
      </c>
    </row>
    <row r="11" spans="1:2" x14ac:dyDescent="0.3">
      <c r="A11">
        <v>9</v>
      </c>
      <c r="B11" s="3">
        <v>170636.769</v>
      </c>
    </row>
    <row r="12" spans="1:2" x14ac:dyDescent="0.3">
      <c r="A12">
        <v>10</v>
      </c>
      <c r="B12" s="3">
        <v>143660.29199999999</v>
      </c>
    </row>
    <row r="13" spans="1:2" x14ac:dyDescent="0.3">
      <c r="A13">
        <v>11</v>
      </c>
      <c r="B13" s="3">
        <v>132233.86900000001</v>
      </c>
    </row>
    <row r="14" spans="1:2" x14ac:dyDescent="0.3">
      <c r="A14">
        <v>12</v>
      </c>
      <c r="B14" s="3">
        <v>117559.647</v>
      </c>
    </row>
    <row r="15" spans="1:2" x14ac:dyDescent="0.3">
      <c r="A15">
        <v>13</v>
      </c>
      <c r="B15" s="3">
        <v>109472.183</v>
      </c>
    </row>
    <row r="16" spans="1:2" x14ac:dyDescent="0.3">
      <c r="A16">
        <v>14</v>
      </c>
      <c r="B16" s="3">
        <v>110526.505</v>
      </c>
    </row>
    <row r="20" spans="1:5" x14ac:dyDescent="0.3">
      <c r="A20" t="s">
        <v>4</v>
      </c>
      <c r="B20" t="s">
        <v>6</v>
      </c>
      <c r="C20" t="s">
        <v>7</v>
      </c>
      <c r="D20" t="s">
        <v>8</v>
      </c>
    </row>
    <row r="21" spans="1:5" x14ac:dyDescent="0.3">
      <c r="A21">
        <v>1</v>
      </c>
      <c r="B21" s="3">
        <v>32623.517</v>
      </c>
      <c r="C21" s="4">
        <f>B21/B3</f>
        <v>0.20205422024177858</v>
      </c>
      <c r="D21" s="5">
        <f>C21*0.1</f>
        <v>2.0205422024177858E-2</v>
      </c>
      <c r="E21" t="s">
        <v>9</v>
      </c>
    </row>
    <row r="22" spans="1:5" x14ac:dyDescent="0.3">
      <c r="A22">
        <v>2</v>
      </c>
      <c r="B22" s="3">
        <v>20483.898000000001</v>
      </c>
      <c r="C22" s="4">
        <f t="shared" ref="C22:C34" si="0">B22/B4</f>
        <v>0.14913916588955653</v>
      </c>
      <c r="D22" s="5">
        <f t="shared" ref="D22:D34" si="1">C22*0.1</f>
        <v>1.4913916588955654E-2</v>
      </c>
      <c r="E22" t="s">
        <v>10</v>
      </c>
    </row>
    <row r="23" spans="1:5" x14ac:dyDescent="0.3">
      <c r="A23">
        <v>3</v>
      </c>
      <c r="B23" s="3">
        <v>18231.948</v>
      </c>
      <c r="C23" s="4">
        <f t="shared" si="0"/>
        <v>0.13196963644483642</v>
      </c>
      <c r="D23" s="5">
        <f t="shared" si="1"/>
        <v>1.3196963644483643E-2</v>
      </c>
      <c r="E23" t="s">
        <v>11</v>
      </c>
    </row>
    <row r="24" spans="1:5" x14ac:dyDescent="0.3">
      <c r="A24">
        <v>4</v>
      </c>
      <c r="B24" s="3">
        <v>12244.543</v>
      </c>
      <c r="C24" s="4">
        <f t="shared" si="0"/>
        <v>8.9389085256147652E-2</v>
      </c>
      <c r="D24" s="5">
        <f t="shared" si="1"/>
        <v>8.9389085256147659E-3</v>
      </c>
      <c r="E24" t="s">
        <v>12</v>
      </c>
    </row>
    <row r="25" spans="1:5" x14ac:dyDescent="0.3">
      <c r="A25">
        <v>5</v>
      </c>
      <c r="B25" s="3">
        <v>14098.948</v>
      </c>
      <c r="C25" s="4">
        <f t="shared" si="0"/>
        <v>8.808947384386201E-2</v>
      </c>
      <c r="D25" s="5">
        <f t="shared" si="1"/>
        <v>8.808947384386201E-3</v>
      </c>
      <c r="E25">
        <v>524</v>
      </c>
    </row>
    <row r="26" spans="1:5" x14ac:dyDescent="0.3">
      <c r="A26">
        <v>6</v>
      </c>
      <c r="B26" s="3">
        <v>26017.454000000002</v>
      </c>
      <c r="C26" s="4">
        <f t="shared" si="0"/>
        <v>0.14764034253005906</v>
      </c>
      <c r="D26" s="5">
        <f t="shared" si="1"/>
        <v>1.4764034253005907E-2</v>
      </c>
      <c r="E26">
        <v>647</v>
      </c>
    </row>
    <row r="27" spans="1:5" x14ac:dyDescent="0.3">
      <c r="A27">
        <v>7</v>
      </c>
      <c r="B27" s="3">
        <v>33241.072999999997</v>
      </c>
      <c r="C27" s="4">
        <f t="shared" si="0"/>
        <v>0.17562254809989933</v>
      </c>
      <c r="D27" s="5">
        <f t="shared" si="1"/>
        <v>1.7562254809989932E-2</v>
      </c>
      <c r="E27" t="s">
        <v>13</v>
      </c>
    </row>
    <row r="28" spans="1:5" x14ac:dyDescent="0.3">
      <c r="A28">
        <v>8</v>
      </c>
      <c r="B28" s="3">
        <v>22879.768</v>
      </c>
      <c r="C28" s="4">
        <f t="shared" si="0"/>
        <v>0.12277198251417333</v>
      </c>
      <c r="D28" s="5">
        <f t="shared" si="1"/>
        <v>1.2277198251417334E-2</v>
      </c>
      <c r="E28" t="s">
        <v>14</v>
      </c>
    </row>
    <row r="29" spans="1:5" x14ac:dyDescent="0.3">
      <c r="A29">
        <v>9</v>
      </c>
      <c r="B29" s="3">
        <v>15098.321</v>
      </c>
      <c r="C29" s="4">
        <f t="shared" si="0"/>
        <v>8.8482225070729045E-2</v>
      </c>
      <c r="D29" s="5">
        <f t="shared" si="1"/>
        <v>8.8482225070729056E-3</v>
      </c>
      <c r="E29" t="s">
        <v>15</v>
      </c>
    </row>
    <row r="30" spans="1:5" x14ac:dyDescent="0.3">
      <c r="A30">
        <v>10</v>
      </c>
      <c r="B30" s="3">
        <v>6226.0780000000004</v>
      </c>
      <c r="C30" s="4">
        <f t="shared" si="0"/>
        <v>4.333889283755598E-2</v>
      </c>
      <c r="D30" s="5">
        <f t="shared" si="1"/>
        <v>4.3338892837555985E-3</v>
      </c>
      <c r="E30" t="s">
        <v>16</v>
      </c>
    </row>
    <row r="31" spans="1:5" x14ac:dyDescent="0.3">
      <c r="A31">
        <v>11</v>
      </c>
      <c r="B31" s="3">
        <v>7962.1580000000004</v>
      </c>
      <c r="C31" s="4">
        <f t="shared" si="0"/>
        <v>6.0212697852771745E-2</v>
      </c>
      <c r="D31" s="5">
        <f t="shared" si="1"/>
        <v>6.021269785277175E-3</v>
      </c>
      <c r="E31" t="s">
        <v>17</v>
      </c>
    </row>
    <row r="32" spans="1:5" x14ac:dyDescent="0.3">
      <c r="A32">
        <v>12</v>
      </c>
      <c r="B32" s="3">
        <v>9388.6849999999995</v>
      </c>
      <c r="C32" s="4">
        <f t="shared" si="0"/>
        <v>7.9863160868456837E-2</v>
      </c>
      <c r="D32" s="5">
        <f t="shared" si="1"/>
        <v>7.9863160868456837E-3</v>
      </c>
      <c r="E32" t="s">
        <v>18</v>
      </c>
    </row>
    <row r="33" spans="1:5" x14ac:dyDescent="0.3">
      <c r="A33">
        <v>13</v>
      </c>
      <c r="B33" s="3">
        <v>28497.850999999999</v>
      </c>
      <c r="C33" s="4">
        <f t="shared" si="0"/>
        <v>0.26032047794278479</v>
      </c>
      <c r="D33" s="5">
        <f t="shared" si="1"/>
        <v>2.6032047794278479E-2</v>
      </c>
      <c r="E33" t="s">
        <v>19</v>
      </c>
    </row>
    <row r="34" spans="1:5" x14ac:dyDescent="0.3">
      <c r="A34">
        <v>14</v>
      </c>
      <c r="B34" s="3">
        <v>25523.261999999999</v>
      </c>
      <c r="C34" s="4">
        <f t="shared" si="0"/>
        <v>0.23092435610806655</v>
      </c>
      <c r="D34" s="5">
        <f t="shared" si="1"/>
        <v>2.3092435610806657E-2</v>
      </c>
      <c r="E34" t="s">
        <v>20</v>
      </c>
    </row>
    <row r="38" spans="1:5" x14ac:dyDescent="0.3">
      <c r="B38" t="s">
        <v>21</v>
      </c>
    </row>
    <row r="40" spans="1:5" x14ac:dyDescent="0.3">
      <c r="A40" t="s">
        <v>22</v>
      </c>
    </row>
    <row r="41" spans="1:5" x14ac:dyDescent="0.3">
      <c r="A41" t="s">
        <v>4</v>
      </c>
      <c r="B41" t="s">
        <v>5</v>
      </c>
    </row>
    <row r="42" spans="1:5" x14ac:dyDescent="0.3">
      <c r="A42">
        <v>1</v>
      </c>
      <c r="B42" s="3">
        <v>110364.18799999999</v>
      </c>
    </row>
    <row r="43" spans="1:5" x14ac:dyDescent="0.3">
      <c r="A43">
        <v>2</v>
      </c>
      <c r="B43" s="3">
        <v>129703.451</v>
      </c>
    </row>
    <row r="44" spans="1:5" x14ac:dyDescent="0.3">
      <c r="A44">
        <v>3</v>
      </c>
      <c r="B44" s="3">
        <v>123863.853</v>
      </c>
    </row>
    <row r="45" spans="1:5" x14ac:dyDescent="0.3">
      <c r="A45">
        <v>4</v>
      </c>
      <c r="B45" s="3">
        <v>137157.46</v>
      </c>
    </row>
    <row r="46" spans="1:5" x14ac:dyDescent="0.3">
      <c r="A46">
        <v>5</v>
      </c>
      <c r="B46" s="3">
        <v>139874.29699999999</v>
      </c>
    </row>
    <row r="47" spans="1:5" x14ac:dyDescent="0.3">
      <c r="A47">
        <v>6</v>
      </c>
      <c r="B47" s="3">
        <v>135845.016</v>
      </c>
    </row>
    <row r="48" spans="1:5" x14ac:dyDescent="0.3">
      <c r="A48">
        <v>7</v>
      </c>
      <c r="B48" s="3">
        <v>135631.50200000001</v>
      </c>
    </row>
    <row r="49" spans="1:5" x14ac:dyDescent="0.3">
      <c r="A49">
        <v>8</v>
      </c>
      <c r="B49" s="3">
        <v>127574.815</v>
      </c>
    </row>
    <row r="50" spans="1:5" x14ac:dyDescent="0.3">
      <c r="A50">
        <v>9</v>
      </c>
      <c r="B50" s="3">
        <v>133879.179</v>
      </c>
    </row>
    <row r="51" spans="1:5" x14ac:dyDescent="0.3">
      <c r="A51">
        <v>10</v>
      </c>
      <c r="B51" s="3">
        <v>126190.1</v>
      </c>
    </row>
    <row r="52" spans="1:5" x14ac:dyDescent="0.3">
      <c r="A52">
        <v>11</v>
      </c>
      <c r="B52" s="3">
        <v>128588.727</v>
      </c>
    </row>
    <row r="53" spans="1:5" x14ac:dyDescent="0.3">
      <c r="A53">
        <v>12</v>
      </c>
      <c r="B53" s="3">
        <v>133259.484</v>
      </c>
    </row>
    <row r="54" spans="1:5" x14ac:dyDescent="0.3">
      <c r="A54">
        <v>13</v>
      </c>
      <c r="B54" s="3">
        <v>119284.54300000001</v>
      </c>
    </row>
    <row r="55" spans="1:5" x14ac:dyDescent="0.3">
      <c r="A55">
        <v>14</v>
      </c>
      <c r="B55" s="3">
        <v>107585.016</v>
      </c>
    </row>
    <row r="57" spans="1:5" x14ac:dyDescent="0.3">
      <c r="A57" t="s">
        <v>4</v>
      </c>
      <c r="B57" t="s">
        <v>23</v>
      </c>
      <c r="C57" t="s">
        <v>24</v>
      </c>
      <c r="D57" t="s">
        <v>8</v>
      </c>
    </row>
    <row r="58" spans="1:5" x14ac:dyDescent="0.3">
      <c r="A58">
        <v>1</v>
      </c>
      <c r="B58" s="3">
        <v>11415.48</v>
      </c>
      <c r="C58" s="4">
        <f t="shared" ref="C58:C71" si="2">B58/B42</f>
        <v>0.10343463950461902</v>
      </c>
      <c r="D58" s="5">
        <f>C58*0.1</f>
        <v>1.0343463950461903E-2</v>
      </c>
      <c r="E58" t="s">
        <v>9</v>
      </c>
    </row>
    <row r="59" spans="1:5" x14ac:dyDescent="0.3">
      <c r="A59">
        <v>2</v>
      </c>
      <c r="B59">
        <v>20993.583999999999</v>
      </c>
      <c r="C59" s="4">
        <f t="shared" si="2"/>
        <v>0.16185833019971071</v>
      </c>
      <c r="D59" s="5">
        <f t="shared" ref="D59:D71" si="3">C59*0.1</f>
        <v>1.6185833019971074E-2</v>
      </c>
      <c r="E59" t="s">
        <v>10</v>
      </c>
    </row>
    <row r="60" spans="1:5" x14ac:dyDescent="0.3">
      <c r="A60">
        <v>3</v>
      </c>
      <c r="B60">
        <v>28127.626</v>
      </c>
      <c r="C60" s="4">
        <f t="shared" si="2"/>
        <v>0.22708502374780801</v>
      </c>
      <c r="D60" s="5">
        <f t="shared" si="3"/>
        <v>2.2708502374780802E-2</v>
      </c>
      <c r="E60" t="s">
        <v>11</v>
      </c>
    </row>
    <row r="61" spans="1:5" x14ac:dyDescent="0.3">
      <c r="A61">
        <v>4</v>
      </c>
      <c r="B61">
        <v>17732.491999999998</v>
      </c>
      <c r="C61" s="4">
        <f t="shared" si="2"/>
        <v>0.12928565460456909</v>
      </c>
      <c r="D61" s="5">
        <f t="shared" si="3"/>
        <v>1.292856546045691E-2</v>
      </c>
      <c r="E61" t="s">
        <v>12</v>
      </c>
    </row>
    <row r="62" spans="1:5" x14ac:dyDescent="0.3">
      <c r="A62">
        <v>5</v>
      </c>
      <c r="B62">
        <v>10190.279</v>
      </c>
      <c r="C62" s="4">
        <f t="shared" si="2"/>
        <v>7.2853120398524693E-2</v>
      </c>
      <c r="D62" s="5">
        <f t="shared" si="3"/>
        <v>7.2853120398524698E-3</v>
      </c>
      <c r="E62">
        <v>524</v>
      </c>
    </row>
    <row r="63" spans="1:5" x14ac:dyDescent="0.3">
      <c r="A63">
        <v>6</v>
      </c>
      <c r="B63">
        <v>15437.271000000001</v>
      </c>
      <c r="C63" s="4">
        <f t="shared" si="2"/>
        <v>0.11363884708144169</v>
      </c>
      <c r="D63" s="5">
        <f t="shared" si="3"/>
        <v>1.1363884708144169E-2</v>
      </c>
      <c r="E63">
        <v>647</v>
      </c>
    </row>
    <row r="64" spans="1:5" x14ac:dyDescent="0.3">
      <c r="A64">
        <v>7</v>
      </c>
      <c r="B64">
        <v>28971.543000000001</v>
      </c>
      <c r="C64" s="4">
        <f t="shared" si="2"/>
        <v>0.21360482316268975</v>
      </c>
      <c r="D64" s="5">
        <f t="shared" si="3"/>
        <v>2.1360482316268976E-2</v>
      </c>
      <c r="E64" t="s">
        <v>13</v>
      </c>
    </row>
    <row r="65" spans="1:5" x14ac:dyDescent="0.3">
      <c r="A65">
        <v>8</v>
      </c>
      <c r="B65">
        <v>29962.835999999999</v>
      </c>
      <c r="C65" s="4">
        <f t="shared" si="2"/>
        <v>0.23486482030171862</v>
      </c>
      <c r="D65" s="5">
        <f t="shared" si="3"/>
        <v>2.3486482030171865E-2</v>
      </c>
      <c r="E65" t="s">
        <v>14</v>
      </c>
    </row>
    <row r="66" spans="1:5" x14ac:dyDescent="0.3">
      <c r="A66">
        <v>9</v>
      </c>
      <c r="B66">
        <v>26118.037</v>
      </c>
      <c r="C66" s="4">
        <f t="shared" si="2"/>
        <v>0.19508662358916914</v>
      </c>
      <c r="D66" s="5">
        <f t="shared" si="3"/>
        <v>1.9508662358916917E-2</v>
      </c>
      <c r="E66" t="s">
        <v>15</v>
      </c>
    </row>
    <row r="67" spans="1:5" x14ac:dyDescent="0.3">
      <c r="A67">
        <v>10</v>
      </c>
      <c r="B67">
        <v>18049.441999999999</v>
      </c>
      <c r="C67" s="4">
        <f t="shared" si="2"/>
        <v>0.1430337403647354</v>
      </c>
      <c r="D67" s="5">
        <f t="shared" si="3"/>
        <v>1.430337403647354E-2</v>
      </c>
      <c r="E67" t="s">
        <v>25</v>
      </c>
    </row>
    <row r="68" spans="1:5" x14ac:dyDescent="0.3">
      <c r="A68">
        <v>11</v>
      </c>
      <c r="B68">
        <v>17567.512999999999</v>
      </c>
      <c r="C68" s="4">
        <f t="shared" si="2"/>
        <v>0.13661783120381929</v>
      </c>
      <c r="D68" s="5">
        <f t="shared" si="3"/>
        <v>1.366178312038193E-2</v>
      </c>
      <c r="E68" t="s">
        <v>26</v>
      </c>
    </row>
    <row r="69" spans="1:5" x14ac:dyDescent="0.3">
      <c r="A69">
        <v>12</v>
      </c>
      <c r="B69">
        <v>31161.212</v>
      </c>
      <c r="C69" s="4">
        <f t="shared" si="2"/>
        <v>0.23383860618880981</v>
      </c>
      <c r="D69" s="5">
        <f t="shared" si="3"/>
        <v>2.3383860618880981E-2</v>
      </c>
      <c r="E69" t="s">
        <v>27</v>
      </c>
    </row>
    <row r="70" spans="1:5" x14ac:dyDescent="0.3">
      <c r="A70">
        <v>13</v>
      </c>
      <c r="B70">
        <v>39949.303999999996</v>
      </c>
      <c r="C70" s="4">
        <f t="shared" si="2"/>
        <v>0.33490763342237889</v>
      </c>
      <c r="D70" s="5">
        <f t="shared" si="3"/>
        <v>3.3490763342237891E-2</v>
      </c>
      <c r="E70" t="s">
        <v>28</v>
      </c>
    </row>
    <row r="71" spans="1:5" x14ac:dyDescent="0.3">
      <c r="A71">
        <v>14</v>
      </c>
      <c r="B71">
        <v>70768.771999999997</v>
      </c>
      <c r="C71" s="4">
        <f t="shared" si="2"/>
        <v>0.65779394409347858</v>
      </c>
      <c r="D71" s="5">
        <f t="shared" si="3"/>
        <v>6.5779394409347866E-2</v>
      </c>
      <c r="E71" t="s">
        <v>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BDEF-BCE6-43E9-AA9F-DEC5EA7EA156}">
  <dimension ref="A1:AC9"/>
  <sheetViews>
    <sheetView workbookViewId="0">
      <selection activeCell="H16" sqref="H16"/>
    </sheetView>
  </sheetViews>
  <sheetFormatPr defaultRowHeight="14.4" x14ac:dyDescent="0.3"/>
  <sheetData>
    <row r="1" spans="1:29" x14ac:dyDescent="0.3">
      <c r="A1" s="7"/>
      <c r="B1" s="7"/>
      <c r="C1" s="9" t="s">
        <v>30</v>
      </c>
      <c r="D1" s="9"/>
      <c r="E1" s="9"/>
      <c r="F1" s="9"/>
      <c r="G1" s="9"/>
      <c r="H1" s="9"/>
      <c r="I1" s="9"/>
      <c r="J1" s="9"/>
      <c r="K1" s="9"/>
      <c r="L1" s="9" t="s">
        <v>31</v>
      </c>
      <c r="M1" s="9"/>
      <c r="N1" s="9"/>
      <c r="O1" s="9"/>
      <c r="P1" s="9"/>
      <c r="Q1" s="9"/>
      <c r="R1" s="9"/>
      <c r="S1" s="9"/>
      <c r="T1" s="9"/>
      <c r="U1" s="9" t="s">
        <v>32</v>
      </c>
      <c r="V1" s="9"/>
      <c r="W1" s="9"/>
      <c r="X1" s="9"/>
      <c r="Y1" s="9"/>
      <c r="Z1" s="9"/>
      <c r="AA1" s="9"/>
      <c r="AB1" s="9"/>
      <c r="AC1" s="9"/>
    </row>
    <row r="2" spans="1:29" x14ac:dyDescent="0.3">
      <c r="A2" s="8" t="s">
        <v>33</v>
      </c>
      <c r="B2" s="6">
        <v>1</v>
      </c>
      <c r="C2" s="6">
        <v>8.0000000000000002E-3</v>
      </c>
      <c r="D2" s="6">
        <v>8.9999999999999993E-3</v>
      </c>
      <c r="E2" s="6">
        <v>8.8979999999999997E-3</v>
      </c>
      <c r="F2" s="6">
        <v>8.9999999999999993E-3</v>
      </c>
      <c r="G2" s="6">
        <v>3.3758000000000003E-2</v>
      </c>
      <c r="H2" s="6">
        <v>8.123E-3</v>
      </c>
      <c r="I2" s="6">
        <v>4.3059999999999999E-3</v>
      </c>
      <c r="J2" s="6">
        <v>1.37E-2</v>
      </c>
      <c r="K2" s="6">
        <v>1.06E-2</v>
      </c>
      <c r="L2" s="6">
        <v>8.0000000000000002E-3</v>
      </c>
      <c r="M2" s="6">
        <v>1.4999999999999999E-2</v>
      </c>
      <c r="N2" s="6">
        <v>1.8800000000000001E-2</v>
      </c>
      <c r="O2" s="6">
        <v>6.0000000000000001E-3</v>
      </c>
      <c r="P2" s="6">
        <v>8.0000000000000002E-3</v>
      </c>
      <c r="Q2" s="6">
        <v>2E-3</v>
      </c>
      <c r="R2" s="6">
        <v>2.1399999999999999E-2</v>
      </c>
      <c r="S2" s="6">
        <v>2E-3</v>
      </c>
      <c r="T2" s="6">
        <v>2.3E-2</v>
      </c>
      <c r="U2" s="6">
        <v>4.0000000000000001E-3</v>
      </c>
      <c r="V2" s="6">
        <v>6.0000000000000001E-3</v>
      </c>
      <c r="W2" s="6">
        <v>1E-3</v>
      </c>
      <c r="X2" s="6">
        <v>1.9099999999999999E-2</v>
      </c>
      <c r="Y2" s="6">
        <v>7.0000000000000001E-3</v>
      </c>
      <c r="Z2" s="6">
        <v>1E-3</v>
      </c>
      <c r="AA2" s="6">
        <v>1.7000000000000001E-2</v>
      </c>
      <c r="AB2" s="6"/>
      <c r="AC2" s="6"/>
    </row>
    <row r="3" spans="1:29" x14ac:dyDescent="0.3">
      <c r="A3" s="8" t="s">
        <v>34</v>
      </c>
      <c r="B3" s="6">
        <v>2</v>
      </c>
      <c r="C3" s="6">
        <v>0.02</v>
      </c>
      <c r="D3" s="6">
        <v>8.9999999999999993E-3</v>
      </c>
      <c r="E3" s="6">
        <v>2.547E-2</v>
      </c>
      <c r="F3" s="6">
        <v>1.4999999999999999E-2</v>
      </c>
      <c r="G3" s="6">
        <v>6.0749999999999997E-3</v>
      </c>
      <c r="H3" s="6">
        <v>1.1018999999999999E-2</v>
      </c>
      <c r="I3" s="6">
        <v>4.1000000000000003E-3</v>
      </c>
      <c r="J3" s="6">
        <v>2.4199999999999999E-2</v>
      </c>
      <c r="K3" s="6">
        <v>1.4E-2</v>
      </c>
      <c r="L3" s="6">
        <v>1.0999999999999999E-2</v>
      </c>
      <c r="M3" s="6">
        <v>1.2999999999999999E-2</v>
      </c>
      <c r="N3" s="6">
        <v>1.24E-2</v>
      </c>
      <c r="O3" s="6">
        <v>4.0000000000000001E-3</v>
      </c>
      <c r="P3" s="6">
        <v>8.9999999999999993E-3</v>
      </c>
      <c r="Q3" s="6">
        <v>4.0000000000000001E-3</v>
      </c>
      <c r="R3" s="6">
        <v>1.5900000000000001E-2</v>
      </c>
      <c r="S3" s="6">
        <v>7.0000000000000001E-3</v>
      </c>
      <c r="T3" s="6">
        <v>3.5000000000000003E-2</v>
      </c>
      <c r="U3" s="6">
        <v>8.9999999999999993E-3</v>
      </c>
      <c r="V3" s="6">
        <v>5.0000000000000001E-3</v>
      </c>
      <c r="W3" s="6">
        <v>1E-3</v>
      </c>
      <c r="X3" s="6">
        <v>4.4999999999999997E-3</v>
      </c>
      <c r="Y3" s="6">
        <v>5.0000000000000001E-3</v>
      </c>
      <c r="Z3" s="6">
        <v>6.0000000000000001E-3</v>
      </c>
      <c r="AA3" s="6">
        <v>2.7E-2</v>
      </c>
      <c r="AB3" s="6"/>
      <c r="AC3" s="6"/>
    </row>
    <row r="4" spans="1:29" x14ac:dyDescent="0.3">
      <c r="A4" s="8" t="s">
        <v>35</v>
      </c>
      <c r="B4" s="6">
        <v>3</v>
      </c>
      <c r="C4" s="6">
        <v>2.5999999999999999E-2</v>
      </c>
      <c r="D4" s="6">
        <v>0.01</v>
      </c>
      <c r="E4" s="6">
        <v>2.7061000000000002E-2</v>
      </c>
      <c r="F4" s="6">
        <v>2.8000000000000001E-2</v>
      </c>
      <c r="G4" s="6">
        <v>4.2839999999999996E-3</v>
      </c>
      <c r="H4" s="6"/>
      <c r="I4" s="6">
        <v>3.4199999999999999E-3</v>
      </c>
      <c r="J4" s="6">
        <v>1.83E-2</v>
      </c>
      <c r="K4" s="6">
        <v>1.1900000000000001E-2</v>
      </c>
      <c r="L4" s="6">
        <v>5.0000000000000001E-3</v>
      </c>
      <c r="M4" s="6">
        <v>1.6E-2</v>
      </c>
      <c r="N4" s="6">
        <v>4.4999999999999997E-3</v>
      </c>
      <c r="O4" s="6">
        <v>4.0000000000000001E-3</v>
      </c>
      <c r="P4" s="6">
        <v>1.9E-2</v>
      </c>
      <c r="Q4" s="6">
        <v>6.0000000000000001E-3</v>
      </c>
      <c r="R4" s="6">
        <v>1.34E-2</v>
      </c>
      <c r="S4" s="6">
        <v>0.01</v>
      </c>
      <c r="T4" s="6">
        <v>2.1000000000000001E-2</v>
      </c>
      <c r="U4" s="6">
        <v>8.9999999999999993E-3</v>
      </c>
      <c r="V4" s="6">
        <v>6.0000000000000001E-3</v>
      </c>
      <c r="W4" s="6">
        <v>2E-3</v>
      </c>
      <c r="X4" s="6">
        <v>3.0999999999999999E-3</v>
      </c>
      <c r="Y4" s="6">
        <v>5.0000000000000001E-3</v>
      </c>
      <c r="Z4" s="6">
        <v>5.0000000000000001E-3</v>
      </c>
      <c r="AA4" s="6">
        <v>2.3E-2</v>
      </c>
      <c r="AB4" s="6"/>
      <c r="AC4" s="6"/>
    </row>
    <row r="5" spans="1:29" x14ac:dyDescent="0.3">
      <c r="A5" s="8" t="s">
        <v>36</v>
      </c>
      <c r="B5" s="6">
        <v>4</v>
      </c>
      <c r="C5" s="6">
        <v>2.1000000000000001E-2</v>
      </c>
      <c r="D5" s="6">
        <v>8.0000000000000002E-3</v>
      </c>
      <c r="E5" s="6">
        <v>3.1898999999999997E-2</v>
      </c>
      <c r="F5" s="6"/>
      <c r="G5" s="6">
        <v>3.604E-3</v>
      </c>
      <c r="H5" s="6"/>
      <c r="I5" s="6">
        <v>3.5590000000000001E-3</v>
      </c>
      <c r="J5" s="6">
        <v>2.1899999999999999E-2</v>
      </c>
      <c r="K5" s="6">
        <v>4.8999999999999998E-3</v>
      </c>
      <c r="L5" s="6">
        <v>5.0000000000000001E-3</v>
      </c>
      <c r="M5" s="6">
        <v>1.6E-2</v>
      </c>
      <c r="N5" s="6">
        <v>3.8999999999999998E-3</v>
      </c>
      <c r="O5" s="6">
        <v>3.0000000000000001E-3</v>
      </c>
      <c r="P5" s="6">
        <v>3.2000000000000001E-2</v>
      </c>
      <c r="Q5" s="6">
        <v>3.0000000000000001E-3</v>
      </c>
      <c r="R5" s="6">
        <v>9.7000000000000003E-3</v>
      </c>
      <c r="S5" s="6">
        <v>8.9999999999999993E-3</v>
      </c>
      <c r="T5" s="6">
        <v>1.2E-2</v>
      </c>
      <c r="U5" s="6">
        <v>1.0999999999999999E-2</v>
      </c>
      <c r="V5" s="6">
        <v>8.0000000000000002E-3</v>
      </c>
      <c r="W5" s="6">
        <v>5.0000000000000001E-3</v>
      </c>
      <c r="X5" s="6">
        <v>2.5000000000000001E-3</v>
      </c>
      <c r="Y5" s="6">
        <v>6.0000000000000001E-3</v>
      </c>
      <c r="Z5" s="6">
        <v>5.0000000000000001E-3</v>
      </c>
      <c r="AA5" s="6">
        <v>2.3E-2</v>
      </c>
      <c r="AB5" s="6"/>
      <c r="AC5" s="6"/>
    </row>
    <row r="6" spans="1:29" x14ac:dyDescent="0.3">
      <c r="A6" s="8" t="s">
        <v>37</v>
      </c>
      <c r="B6" s="6">
        <v>5</v>
      </c>
      <c r="C6" s="6">
        <v>1.9E-2</v>
      </c>
      <c r="D6" s="6"/>
      <c r="E6" s="6">
        <v>3.8752000000000002E-2</v>
      </c>
      <c r="F6" s="6"/>
      <c r="G6" s="6">
        <v>2.2539999999999999E-3</v>
      </c>
      <c r="H6" s="6"/>
      <c r="I6" s="6">
        <v>6.829E-3</v>
      </c>
      <c r="J6" s="6">
        <v>2.8000000000000001E-2</v>
      </c>
      <c r="K6" s="6">
        <v>1.0200000000000001E-2</v>
      </c>
      <c r="L6" s="6">
        <v>1.4E-2</v>
      </c>
      <c r="M6" s="6">
        <v>2.8000000000000001E-2</v>
      </c>
      <c r="N6" s="6">
        <v>2.8999999999999998E-3</v>
      </c>
      <c r="O6" s="6">
        <v>2E-3</v>
      </c>
      <c r="P6" s="6">
        <v>1.4999999999999999E-2</v>
      </c>
      <c r="Q6" s="6">
        <v>2E-3</v>
      </c>
      <c r="R6" s="6">
        <v>6.3E-3</v>
      </c>
      <c r="S6" s="6">
        <v>8.9999999999999993E-3</v>
      </c>
      <c r="T6" s="6">
        <v>1.0999999999999999E-2</v>
      </c>
      <c r="U6" s="6">
        <v>1.4E-2</v>
      </c>
      <c r="V6" s="6">
        <v>1.0999999999999999E-2</v>
      </c>
      <c r="W6" s="6">
        <v>7.0000000000000001E-3</v>
      </c>
      <c r="X6" s="6">
        <v>2.2000000000000001E-3</v>
      </c>
      <c r="Y6" s="6">
        <v>8.0000000000000002E-3</v>
      </c>
      <c r="Z6" s="6">
        <v>8.0000000000000002E-3</v>
      </c>
      <c r="AA6" s="6">
        <v>2.8000000000000001E-2</v>
      </c>
      <c r="AB6" s="6"/>
      <c r="AC6" s="6"/>
    </row>
    <row r="7" spans="1:29" x14ac:dyDescent="0.3">
      <c r="A7" s="8" t="s">
        <v>38</v>
      </c>
      <c r="B7" s="6">
        <v>6</v>
      </c>
      <c r="C7" s="6">
        <v>1.6E-2</v>
      </c>
      <c r="D7" s="6"/>
      <c r="E7" s="6"/>
      <c r="F7" s="6"/>
      <c r="G7" s="6">
        <v>2.8830000000000001E-3</v>
      </c>
      <c r="H7" s="6"/>
      <c r="I7" s="6"/>
      <c r="J7" s="6">
        <v>3.3500000000000002E-2</v>
      </c>
      <c r="K7" s="6">
        <v>1.11E-2</v>
      </c>
      <c r="L7" s="6">
        <v>1.0999999999999999E-2</v>
      </c>
      <c r="M7" s="6">
        <v>8.9999999999999993E-3</v>
      </c>
      <c r="N7" s="6">
        <v>4.1999999999999997E-3</v>
      </c>
      <c r="O7" s="6">
        <v>2E-3</v>
      </c>
      <c r="P7" s="6">
        <v>1.0999999999999999E-2</v>
      </c>
      <c r="Q7" s="6">
        <v>6.0000000000000001E-3</v>
      </c>
      <c r="R7" s="6">
        <v>5.5999999999999999E-3</v>
      </c>
      <c r="S7" s="6">
        <v>1.4E-2</v>
      </c>
      <c r="T7" s="6">
        <v>1.7000000000000001E-2</v>
      </c>
      <c r="U7" s="6">
        <v>1.2E-2</v>
      </c>
      <c r="V7" s="6">
        <v>1.4E-2</v>
      </c>
      <c r="W7" s="6">
        <v>5.0000000000000001E-3</v>
      </c>
      <c r="X7" s="6">
        <v>1.5E-3</v>
      </c>
      <c r="Y7" s="6">
        <v>7.0000000000000001E-3</v>
      </c>
      <c r="Z7" s="6">
        <v>1.6E-2</v>
      </c>
      <c r="AA7" s="6">
        <v>2.3E-2</v>
      </c>
      <c r="AB7" s="6"/>
      <c r="AC7" s="6"/>
    </row>
    <row r="8" spans="1:29" x14ac:dyDescent="0.3">
      <c r="A8" s="8" t="s">
        <v>39</v>
      </c>
      <c r="B8" s="6">
        <v>7</v>
      </c>
      <c r="C8" s="6">
        <v>1.2E-2</v>
      </c>
      <c r="D8" s="6"/>
      <c r="E8" s="6"/>
      <c r="F8" s="6"/>
      <c r="G8" s="6">
        <v>4.0819999999999997E-3</v>
      </c>
      <c r="H8" s="6"/>
      <c r="I8" s="6"/>
      <c r="J8" s="6">
        <v>3.2599999999999997E-2</v>
      </c>
      <c r="K8" s="6">
        <v>2.1299999999999999E-2</v>
      </c>
      <c r="L8" s="6">
        <v>8.9999999999999993E-3</v>
      </c>
      <c r="M8" s="6">
        <v>7.0000000000000001E-3</v>
      </c>
      <c r="N8" s="6">
        <v>6.4999999999999997E-3</v>
      </c>
      <c r="O8" s="6">
        <v>4.0000000000000001E-3</v>
      </c>
      <c r="P8" s="6">
        <v>0.01</v>
      </c>
      <c r="Q8" s="6">
        <v>8.0000000000000002E-3</v>
      </c>
      <c r="R8" s="6">
        <v>6.6E-3</v>
      </c>
      <c r="S8" s="6">
        <v>1.7999999999999999E-2</v>
      </c>
      <c r="T8" s="6">
        <v>1.9E-2</v>
      </c>
      <c r="U8" s="6">
        <v>1.4999999999999999E-2</v>
      </c>
      <c r="V8" s="6">
        <v>0.01</v>
      </c>
      <c r="W8" s="6">
        <v>6.0000000000000001E-3</v>
      </c>
      <c r="X8" s="6">
        <v>2E-3</v>
      </c>
      <c r="Y8" s="6">
        <v>5.0000000000000001E-3</v>
      </c>
      <c r="Z8" s="6">
        <v>8.0000000000000002E-3</v>
      </c>
      <c r="AA8" s="6"/>
      <c r="AB8" s="6"/>
      <c r="AC8" s="6"/>
    </row>
    <row r="9" spans="1:29" x14ac:dyDescent="0.3">
      <c r="A9" s="8" t="s">
        <v>40</v>
      </c>
      <c r="B9" s="6">
        <v>8</v>
      </c>
      <c r="C9" s="6">
        <v>1.7000000000000001E-2</v>
      </c>
      <c r="D9" s="6"/>
      <c r="E9" s="6"/>
      <c r="F9" s="6"/>
      <c r="G9" s="6"/>
      <c r="H9" s="6"/>
      <c r="I9" s="6"/>
      <c r="J9" s="6">
        <v>4.1799999999999997E-2</v>
      </c>
      <c r="K9" s="6">
        <v>2.63E-2</v>
      </c>
      <c r="L9" s="6">
        <v>5.0000000000000001E-3</v>
      </c>
      <c r="M9" s="6">
        <v>6.0000000000000001E-3</v>
      </c>
      <c r="N9" s="6">
        <v>1.34E-2</v>
      </c>
      <c r="O9" s="6">
        <v>4.0000000000000001E-3</v>
      </c>
      <c r="P9" s="6">
        <v>8.9999999999999993E-3</v>
      </c>
      <c r="Q9" s="6">
        <v>8.0000000000000002E-3</v>
      </c>
      <c r="R9" s="6">
        <v>9.9000000000000008E-3</v>
      </c>
      <c r="S9" s="6">
        <v>1.4999999999999999E-2</v>
      </c>
      <c r="T9" s="6">
        <v>0.03</v>
      </c>
      <c r="U9" s="6">
        <v>2.5999999999999999E-2</v>
      </c>
      <c r="V9" s="6">
        <v>8.9999999999999993E-3</v>
      </c>
      <c r="W9" s="6">
        <v>3.0000000000000001E-3</v>
      </c>
      <c r="X9" s="6">
        <v>4.8999999999999998E-3</v>
      </c>
      <c r="Y9" s="6">
        <v>5.0000000000000001E-3</v>
      </c>
      <c r="Z9" s="6">
        <v>4.0000000000000001E-3</v>
      </c>
      <c r="AA9" s="6"/>
      <c r="AB9" s="6"/>
      <c r="AC9" s="6"/>
    </row>
  </sheetData>
  <mergeCells count="3">
    <mergeCell ref="C1:K1"/>
    <mergeCell ref="L1:T1"/>
    <mergeCell ref="U1:AC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0E1BF-74D8-4247-B18B-C6E832FCD683}">
  <dimension ref="A1:AC9"/>
  <sheetViews>
    <sheetView workbookViewId="0">
      <selection activeCell="J14" sqref="J14"/>
    </sheetView>
  </sheetViews>
  <sheetFormatPr defaultRowHeight="14.4" x14ac:dyDescent="0.3"/>
  <sheetData>
    <row r="1" spans="1:29" x14ac:dyDescent="0.3">
      <c r="A1" s="7"/>
      <c r="B1" s="7"/>
      <c r="C1" s="9" t="s">
        <v>30</v>
      </c>
      <c r="D1" s="9"/>
      <c r="E1" s="9"/>
      <c r="F1" s="9"/>
      <c r="G1" s="9"/>
      <c r="H1" s="9"/>
      <c r="I1" s="9"/>
      <c r="J1" s="9"/>
      <c r="K1" s="9"/>
      <c r="L1" s="9" t="s">
        <v>31</v>
      </c>
      <c r="M1" s="9"/>
      <c r="N1" s="9"/>
      <c r="O1" s="9"/>
      <c r="P1" s="9"/>
      <c r="Q1" s="9"/>
      <c r="R1" s="9"/>
      <c r="S1" s="9"/>
      <c r="T1" s="9"/>
      <c r="U1" s="9" t="s">
        <v>32</v>
      </c>
      <c r="V1" s="9"/>
      <c r="W1" s="9"/>
      <c r="X1" s="9"/>
      <c r="Y1" s="9"/>
      <c r="Z1" s="9"/>
      <c r="AA1" s="9"/>
      <c r="AB1" s="9"/>
      <c r="AC1" s="9"/>
    </row>
    <row r="2" spans="1:29" x14ac:dyDescent="0.3">
      <c r="A2" s="8" t="s">
        <v>33</v>
      </c>
      <c r="B2" s="6">
        <v>1</v>
      </c>
      <c r="C2" s="6">
        <v>7.2999999999999995E-2</v>
      </c>
      <c r="D2" s="6">
        <v>2.3774E-2</v>
      </c>
      <c r="E2" s="6">
        <v>2.5000000000000001E-2</v>
      </c>
      <c r="F2" s="6">
        <v>2.5000000000000001E-2</v>
      </c>
      <c r="G2" s="6">
        <v>5.1999999999999998E-2</v>
      </c>
      <c r="H2" s="6">
        <v>3.5999999999999997E-2</v>
      </c>
      <c r="I2" s="6">
        <v>1.9E-2</v>
      </c>
      <c r="J2" s="6">
        <v>4.4999999999999998E-2</v>
      </c>
      <c r="K2" s="6">
        <v>3.2772999999999997E-2</v>
      </c>
      <c r="L2" s="6">
        <v>7.0000000000000001E-3</v>
      </c>
      <c r="M2" s="6">
        <v>4.7E-2</v>
      </c>
      <c r="N2" s="6">
        <v>1.2E-2</v>
      </c>
      <c r="O2" s="6">
        <v>5.7000000000000002E-2</v>
      </c>
      <c r="P2" s="6">
        <v>3.4000000000000002E-2</v>
      </c>
      <c r="Q2" s="6">
        <v>6.0999999999999999E-2</v>
      </c>
      <c r="R2" s="6">
        <v>0.04</v>
      </c>
      <c r="S2" s="6">
        <v>8.6999999999999994E-2</v>
      </c>
      <c r="T2" s="6">
        <v>3.9199999999999999E-2</v>
      </c>
      <c r="U2" s="6">
        <v>1.7299999999999999E-2</v>
      </c>
      <c r="V2" s="6">
        <v>6.5000000000000002E-2</v>
      </c>
      <c r="W2" s="6">
        <v>0.02</v>
      </c>
      <c r="X2" s="6">
        <v>4.7E-2</v>
      </c>
      <c r="Y2" s="6">
        <v>5.2999999999999999E-2</v>
      </c>
      <c r="Z2" s="6">
        <v>3.0000000000000001E-3</v>
      </c>
      <c r="AA2" s="6">
        <v>2.1000000000000001E-2</v>
      </c>
      <c r="AB2" s="6"/>
      <c r="AC2" s="6"/>
    </row>
    <row r="3" spans="1:29" x14ac:dyDescent="0.3">
      <c r="A3" s="8" t="s">
        <v>34</v>
      </c>
      <c r="B3" s="6">
        <v>2</v>
      </c>
      <c r="C3" s="6">
        <v>5.5E-2</v>
      </c>
      <c r="D3" s="6">
        <v>3.0227E-2</v>
      </c>
      <c r="E3" s="6">
        <v>2.7E-2</v>
      </c>
      <c r="F3" s="6">
        <v>2.5000000000000001E-2</v>
      </c>
      <c r="G3" s="6">
        <v>6.0999999999999999E-2</v>
      </c>
      <c r="H3" s="6">
        <v>2.1999999999999999E-2</v>
      </c>
      <c r="I3" s="6">
        <v>2.4E-2</v>
      </c>
      <c r="J3" s="6">
        <v>2.1000000000000001E-2</v>
      </c>
      <c r="K3" s="6">
        <v>2.0504999999999999E-2</v>
      </c>
      <c r="L3" s="6">
        <v>8.0000000000000002E-3</v>
      </c>
      <c r="M3" s="6">
        <v>0.02</v>
      </c>
      <c r="N3" s="6">
        <v>8.0000000000000002E-3</v>
      </c>
      <c r="O3" s="6">
        <v>0.02</v>
      </c>
      <c r="P3" s="6">
        <v>2.4E-2</v>
      </c>
      <c r="Q3" s="6">
        <v>8.7999999999999995E-2</v>
      </c>
      <c r="R3" s="6">
        <v>4.2999999999999997E-2</v>
      </c>
      <c r="S3" s="6">
        <v>6.5000000000000002E-2</v>
      </c>
      <c r="T3" s="6">
        <v>2.5999999999999999E-2</v>
      </c>
      <c r="U3" s="6">
        <v>1.52E-2</v>
      </c>
      <c r="V3" s="6">
        <v>3.3000000000000002E-2</v>
      </c>
      <c r="W3" s="6">
        <v>1.4E-2</v>
      </c>
      <c r="X3" s="6">
        <v>3.9E-2</v>
      </c>
      <c r="Y3" s="6">
        <v>3.2000000000000001E-2</v>
      </c>
      <c r="Z3" s="6">
        <v>1.4E-2</v>
      </c>
      <c r="AA3" s="6">
        <v>4.1000000000000002E-2</v>
      </c>
      <c r="AB3" s="6"/>
      <c r="AC3" s="6"/>
    </row>
    <row r="4" spans="1:29" x14ac:dyDescent="0.3">
      <c r="A4" s="8" t="s">
        <v>35</v>
      </c>
      <c r="B4" s="6">
        <v>3</v>
      </c>
      <c r="C4" s="6">
        <v>6.6000000000000003E-2</v>
      </c>
      <c r="D4" s="6">
        <v>2.1825000000000001E-2</v>
      </c>
      <c r="E4" s="6">
        <v>1.7000000000000001E-2</v>
      </c>
      <c r="F4" s="6">
        <v>3.7999999999999999E-2</v>
      </c>
      <c r="G4" s="6">
        <v>4.2999999999999997E-2</v>
      </c>
      <c r="H4" s="6"/>
      <c r="I4" s="6">
        <v>3.5999999999999997E-2</v>
      </c>
      <c r="J4" s="6">
        <v>2.5999999999999999E-2</v>
      </c>
      <c r="K4" s="6">
        <v>1.9262000000000001E-2</v>
      </c>
      <c r="L4" s="6">
        <v>2.1000000000000001E-2</v>
      </c>
      <c r="M4" s="6">
        <v>1.0999999999999999E-2</v>
      </c>
      <c r="N4" s="6">
        <v>1.0999999999999999E-2</v>
      </c>
      <c r="O4" s="6">
        <v>7.0000000000000001E-3</v>
      </c>
      <c r="P4" s="6">
        <v>3.1E-2</v>
      </c>
      <c r="Q4" s="6">
        <v>4.7E-2</v>
      </c>
      <c r="R4" s="6">
        <v>4.3999999999999997E-2</v>
      </c>
      <c r="S4" s="6">
        <v>3.5000000000000003E-2</v>
      </c>
      <c r="T4" s="6">
        <v>1.2E-2</v>
      </c>
      <c r="U4" s="6">
        <v>1.38E-2</v>
      </c>
      <c r="V4" s="6">
        <v>2.5000000000000001E-2</v>
      </c>
      <c r="W4" s="6">
        <v>1.4999999999999999E-2</v>
      </c>
      <c r="X4" s="6">
        <v>3.5999999999999997E-2</v>
      </c>
      <c r="Y4" s="6">
        <v>2.7E-2</v>
      </c>
      <c r="Z4" s="6">
        <v>5.7000000000000002E-2</v>
      </c>
      <c r="AA4" s="6">
        <v>4.2999999999999997E-2</v>
      </c>
      <c r="AB4" s="6"/>
      <c r="AC4" s="6"/>
    </row>
    <row r="5" spans="1:29" x14ac:dyDescent="0.3">
      <c r="A5" s="8" t="s">
        <v>36</v>
      </c>
      <c r="B5" s="6">
        <v>4</v>
      </c>
      <c r="C5" s="6">
        <v>4.9000000000000002E-2</v>
      </c>
      <c r="D5" s="6">
        <v>3.7595999999999997E-2</v>
      </c>
      <c r="E5" s="6">
        <v>3.2000000000000001E-2</v>
      </c>
      <c r="F5" s="6"/>
      <c r="G5" s="6">
        <v>4.7E-2</v>
      </c>
      <c r="H5" s="6"/>
      <c r="I5" s="6">
        <v>4.5999999999999999E-2</v>
      </c>
      <c r="J5" s="6">
        <v>2.9000000000000001E-2</v>
      </c>
      <c r="K5" s="6">
        <v>2.4086E-2</v>
      </c>
      <c r="L5" s="6">
        <v>1.7999999999999999E-2</v>
      </c>
      <c r="M5" s="6">
        <v>3.0000000000000001E-3</v>
      </c>
      <c r="N5" s="6">
        <v>8.9999999999999993E-3</v>
      </c>
      <c r="O5" s="6">
        <v>2E-3</v>
      </c>
      <c r="P5" s="6">
        <v>0.02</v>
      </c>
      <c r="Q5" s="6">
        <v>0.04</v>
      </c>
      <c r="R5" s="6">
        <v>3.2000000000000001E-2</v>
      </c>
      <c r="S5" s="6">
        <v>2.9000000000000001E-2</v>
      </c>
      <c r="T5" s="6">
        <v>1.06E-2</v>
      </c>
      <c r="U5" s="6">
        <v>1.09E-2</v>
      </c>
      <c r="V5" s="6">
        <v>1.4999999999999999E-2</v>
      </c>
      <c r="W5" s="6">
        <v>0.02</v>
      </c>
      <c r="X5" s="6">
        <v>2.1000000000000001E-2</v>
      </c>
      <c r="Y5" s="6">
        <v>2.1999999999999999E-2</v>
      </c>
      <c r="Z5" s="6">
        <v>2.4E-2</v>
      </c>
      <c r="AA5" s="6">
        <v>0.04</v>
      </c>
      <c r="AB5" s="6"/>
      <c r="AC5" s="6"/>
    </row>
    <row r="6" spans="1:29" x14ac:dyDescent="0.3">
      <c r="A6" s="8" t="s">
        <v>37</v>
      </c>
      <c r="B6" s="6">
        <v>5</v>
      </c>
      <c r="C6" s="6">
        <v>4.5999999999999999E-2</v>
      </c>
      <c r="D6" s="6"/>
      <c r="E6" s="6">
        <v>0.04</v>
      </c>
      <c r="F6" s="6"/>
      <c r="G6" s="6">
        <v>5.7000000000000002E-2</v>
      </c>
      <c r="H6" s="6"/>
      <c r="I6" s="6">
        <v>6.6000000000000003E-2</v>
      </c>
      <c r="J6" s="6">
        <v>3.2000000000000001E-2</v>
      </c>
      <c r="K6" s="6">
        <v>2.8711E-2</v>
      </c>
      <c r="L6" s="6">
        <v>1.7999999999999999E-2</v>
      </c>
      <c r="M6" s="6">
        <v>6.0000000000000001E-3</v>
      </c>
      <c r="N6" s="6">
        <v>7.0000000000000001E-3</v>
      </c>
      <c r="O6" s="6">
        <v>2E-3</v>
      </c>
      <c r="P6" s="6">
        <v>1.2E-2</v>
      </c>
      <c r="Q6" s="6">
        <v>3.4000000000000002E-2</v>
      </c>
      <c r="R6" s="6">
        <v>2.5000000000000001E-2</v>
      </c>
      <c r="S6" s="6">
        <v>1.4999999999999999E-2</v>
      </c>
      <c r="T6" s="6">
        <v>1.2800000000000001E-2</v>
      </c>
      <c r="U6" s="6">
        <v>8.3999999999999995E-3</v>
      </c>
      <c r="V6" s="6">
        <v>1.2E-2</v>
      </c>
      <c r="W6" s="6">
        <v>0.02</v>
      </c>
      <c r="X6" s="6">
        <v>2.1999999999999999E-2</v>
      </c>
      <c r="Y6" s="6">
        <v>2.7E-2</v>
      </c>
      <c r="Z6" s="6">
        <v>3.5000000000000003E-2</v>
      </c>
      <c r="AA6" s="6">
        <v>3.1E-2</v>
      </c>
      <c r="AB6" s="6"/>
      <c r="AC6" s="6"/>
    </row>
    <row r="7" spans="1:29" x14ac:dyDescent="0.3">
      <c r="A7" s="8" t="s">
        <v>38</v>
      </c>
      <c r="B7" s="6">
        <v>6</v>
      </c>
      <c r="C7" s="6">
        <v>3.9E-2</v>
      </c>
      <c r="D7" s="6"/>
      <c r="E7" s="6"/>
      <c r="F7" s="6"/>
      <c r="G7" s="6">
        <v>0.06</v>
      </c>
      <c r="H7" s="6"/>
      <c r="I7" s="6"/>
      <c r="J7" s="6">
        <v>4.1000000000000002E-2</v>
      </c>
      <c r="K7" s="6">
        <v>2.6775E-2</v>
      </c>
      <c r="L7" s="6">
        <v>0.02</v>
      </c>
      <c r="M7" s="6">
        <v>8.0000000000000002E-3</v>
      </c>
      <c r="N7" s="6">
        <v>7.0000000000000001E-3</v>
      </c>
      <c r="O7" s="6">
        <v>7.0000000000000001E-3</v>
      </c>
      <c r="P7" s="6">
        <v>1.6E-2</v>
      </c>
      <c r="Q7" s="6">
        <v>3.5999999999999997E-2</v>
      </c>
      <c r="R7" s="6">
        <v>1.0999999999999999E-2</v>
      </c>
      <c r="S7" s="6">
        <v>2.3E-2</v>
      </c>
      <c r="T7" s="6">
        <v>1.61E-2</v>
      </c>
      <c r="U7" s="6">
        <v>8.3999999999999995E-3</v>
      </c>
      <c r="V7" s="6">
        <v>0.01</v>
      </c>
      <c r="W7" s="6">
        <v>2.3E-2</v>
      </c>
      <c r="X7" s="6">
        <v>0.01</v>
      </c>
      <c r="Y7" s="6">
        <v>1.9E-2</v>
      </c>
      <c r="Z7" s="6">
        <v>5.7000000000000002E-2</v>
      </c>
      <c r="AA7" s="6">
        <v>2.8000000000000001E-2</v>
      </c>
      <c r="AB7" s="6"/>
      <c r="AC7" s="6"/>
    </row>
    <row r="8" spans="1:29" x14ac:dyDescent="0.3">
      <c r="A8" s="8" t="s">
        <v>39</v>
      </c>
      <c r="B8" s="6">
        <v>7</v>
      </c>
      <c r="C8" s="6">
        <v>3.4000000000000002E-2</v>
      </c>
      <c r="D8" s="6"/>
      <c r="E8" s="6"/>
      <c r="F8" s="6"/>
      <c r="G8" s="6">
        <v>0.04</v>
      </c>
      <c r="H8" s="6"/>
      <c r="I8" s="6"/>
      <c r="J8" s="6">
        <v>4.3999999999999997E-2</v>
      </c>
      <c r="K8" s="6">
        <v>6.4684000000000005E-2</v>
      </c>
      <c r="L8" s="6">
        <v>2.7E-2</v>
      </c>
      <c r="M8" s="6">
        <v>1.2E-2</v>
      </c>
      <c r="N8" s="6">
        <v>6.0000000000000001E-3</v>
      </c>
      <c r="O8" s="6">
        <v>6.0000000000000001E-3</v>
      </c>
      <c r="P8" s="6">
        <v>0.01</v>
      </c>
      <c r="Q8" s="6">
        <v>3.2000000000000001E-2</v>
      </c>
      <c r="R8" s="6">
        <v>0.01</v>
      </c>
      <c r="S8" s="6">
        <v>2.1999999999999999E-2</v>
      </c>
      <c r="T8" s="6">
        <v>2.63E-2</v>
      </c>
      <c r="U8" s="6">
        <v>7.4999999999999997E-3</v>
      </c>
      <c r="V8" s="6">
        <v>1.0999999999999999E-2</v>
      </c>
      <c r="W8" s="6">
        <v>1.6E-2</v>
      </c>
      <c r="X8" s="6">
        <v>8.0000000000000002E-3</v>
      </c>
      <c r="Y8" s="6">
        <v>2.3E-2</v>
      </c>
      <c r="Z8" s="6">
        <v>6.6000000000000003E-2</v>
      </c>
      <c r="AA8" s="6"/>
      <c r="AB8" s="6"/>
      <c r="AC8" s="6"/>
    </row>
    <row r="9" spans="1:29" x14ac:dyDescent="0.3">
      <c r="A9" s="8" t="s">
        <v>40</v>
      </c>
      <c r="B9" s="6">
        <v>8</v>
      </c>
      <c r="C9" s="6">
        <v>4.8000000000000001E-2</v>
      </c>
      <c r="D9" s="6"/>
      <c r="E9" s="6"/>
      <c r="F9" s="6"/>
      <c r="G9" s="6">
        <v>6.5000000000000002E-2</v>
      </c>
      <c r="H9" s="6"/>
      <c r="I9" s="6"/>
      <c r="J9" s="6">
        <v>0.04</v>
      </c>
      <c r="K9" s="6">
        <v>5.5601999999999999E-2</v>
      </c>
      <c r="L9" s="6">
        <v>2.4E-2</v>
      </c>
      <c r="M9" s="6">
        <v>0.01</v>
      </c>
      <c r="N9" s="6">
        <v>7.0000000000000001E-3</v>
      </c>
      <c r="O9" s="6">
        <v>1.6E-2</v>
      </c>
      <c r="P9" s="6">
        <v>6.0000000000000001E-3</v>
      </c>
      <c r="Q9" s="6">
        <v>3.3000000000000002E-2</v>
      </c>
      <c r="R9" s="6">
        <v>0.01</v>
      </c>
      <c r="S9" s="6">
        <v>3.2000000000000001E-2</v>
      </c>
      <c r="T9" s="6">
        <v>2.3199999999999998E-2</v>
      </c>
      <c r="U9" s="6">
        <v>8.9999999999999993E-3</v>
      </c>
      <c r="V9" s="6">
        <v>0.01</v>
      </c>
      <c r="W9" s="6">
        <v>1.4999999999999999E-2</v>
      </c>
      <c r="X9" s="6">
        <v>1.2E-2</v>
      </c>
      <c r="Y9" s="6">
        <v>0.02</v>
      </c>
      <c r="Z9" s="6">
        <v>6.6000000000000003E-2</v>
      </c>
      <c r="AA9" s="6"/>
      <c r="AB9" s="6"/>
      <c r="AC9" s="6"/>
    </row>
  </sheetData>
  <mergeCells count="3">
    <mergeCell ref="C1:K1"/>
    <mergeCell ref="L1:T1"/>
    <mergeCell ref="U1:AC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CCA79-BB9E-438F-AFFA-27418E3F7516}">
  <dimension ref="A1:T28"/>
  <sheetViews>
    <sheetView workbookViewId="0">
      <selection activeCell="A14" sqref="A14"/>
    </sheetView>
  </sheetViews>
  <sheetFormatPr defaultRowHeight="14.4" x14ac:dyDescent="0.3"/>
  <sheetData>
    <row r="1" spans="1:20" x14ac:dyDescent="0.3">
      <c r="A1" s="7" t="s">
        <v>45</v>
      </c>
      <c r="B1" s="7"/>
      <c r="C1" s="9" t="s">
        <v>41</v>
      </c>
      <c r="D1" s="9"/>
      <c r="E1" s="9"/>
      <c r="F1" s="9"/>
      <c r="G1" s="9"/>
      <c r="H1" s="9"/>
      <c r="I1" s="9"/>
      <c r="J1" s="9"/>
      <c r="K1" s="9"/>
      <c r="L1" s="9" t="s">
        <v>42</v>
      </c>
      <c r="M1" s="9"/>
      <c r="N1" s="9"/>
      <c r="O1" s="9"/>
      <c r="P1" s="9"/>
      <c r="Q1" s="9"/>
      <c r="R1" s="9"/>
      <c r="S1" s="9"/>
      <c r="T1" s="9"/>
    </row>
    <row r="2" spans="1:20" x14ac:dyDescent="0.3">
      <c r="A2" s="8" t="s">
        <v>33</v>
      </c>
      <c r="B2" s="6">
        <v>0.21</v>
      </c>
      <c r="C2" s="6">
        <v>8.0000000000000002E-3</v>
      </c>
      <c r="D2" s="6">
        <v>8.9999999999999993E-3</v>
      </c>
      <c r="E2" s="6">
        <v>8.8979999999999997E-3</v>
      </c>
      <c r="F2" s="6"/>
      <c r="G2" s="6"/>
      <c r="H2" s="6">
        <v>8.123E-3</v>
      </c>
      <c r="I2" s="6">
        <v>4.3059999999999999E-3</v>
      </c>
      <c r="J2" s="6"/>
      <c r="K2" s="6"/>
      <c r="L2" s="6">
        <v>8.9999999999999993E-3</v>
      </c>
      <c r="M2" s="6">
        <v>3.3758000000000003E-2</v>
      </c>
      <c r="N2" s="6">
        <v>1.37E-2</v>
      </c>
      <c r="O2" s="6">
        <v>1.06E-2</v>
      </c>
      <c r="P2" s="6"/>
      <c r="Q2" s="6"/>
      <c r="R2" s="6"/>
      <c r="S2" s="6"/>
      <c r="T2" s="6"/>
    </row>
    <row r="3" spans="1:20" x14ac:dyDescent="0.3">
      <c r="A3" s="8" t="s">
        <v>34</v>
      </c>
      <c r="B3" s="6">
        <v>1</v>
      </c>
      <c r="C3" s="6">
        <v>0.02</v>
      </c>
      <c r="D3" s="6">
        <v>8.9999999999999993E-3</v>
      </c>
      <c r="E3" s="6">
        <v>2.547E-2</v>
      </c>
      <c r="F3" s="6"/>
      <c r="G3" s="6"/>
      <c r="H3" s="6">
        <v>1.1018999999999999E-2</v>
      </c>
      <c r="I3" s="6">
        <v>4.1000000000000003E-3</v>
      </c>
      <c r="J3" s="6"/>
      <c r="K3" s="6"/>
      <c r="L3" s="6">
        <v>1.4999999999999999E-2</v>
      </c>
      <c r="M3" s="6">
        <v>6.0749999999999997E-3</v>
      </c>
      <c r="N3" s="6">
        <v>2.4199999999999999E-2</v>
      </c>
      <c r="O3" s="6">
        <v>1.4E-2</v>
      </c>
      <c r="P3" s="6"/>
      <c r="Q3" s="6"/>
      <c r="R3" s="6"/>
      <c r="S3" s="6"/>
      <c r="T3" s="6"/>
    </row>
    <row r="4" spans="1:20" x14ac:dyDescent="0.3">
      <c r="A4" s="8" t="s">
        <v>35</v>
      </c>
      <c r="B4" s="6">
        <v>2</v>
      </c>
      <c r="C4" s="6">
        <v>2.5999999999999999E-2</v>
      </c>
      <c r="D4" s="6">
        <v>0.01</v>
      </c>
      <c r="E4" s="6">
        <v>2.7061000000000002E-2</v>
      </c>
      <c r="F4" s="6"/>
      <c r="G4" s="6"/>
      <c r="H4" s="6"/>
      <c r="I4" s="6">
        <v>3.4199999999999999E-3</v>
      </c>
      <c r="J4" s="6"/>
      <c r="K4" s="6"/>
      <c r="L4" s="6">
        <v>2.8000000000000001E-2</v>
      </c>
      <c r="M4" s="6">
        <v>4.2839999999999996E-3</v>
      </c>
      <c r="N4" s="6">
        <v>1.83E-2</v>
      </c>
      <c r="O4" s="6">
        <v>1.1900000000000001E-2</v>
      </c>
      <c r="P4" s="6"/>
      <c r="Q4" s="6"/>
      <c r="R4" s="6"/>
      <c r="S4" s="6"/>
      <c r="T4" s="6"/>
    </row>
    <row r="5" spans="1:20" x14ac:dyDescent="0.3">
      <c r="A5" s="8" t="s">
        <v>36</v>
      </c>
      <c r="B5" s="6">
        <v>3</v>
      </c>
      <c r="C5" s="6">
        <v>2.1000000000000001E-2</v>
      </c>
      <c r="D5" s="6">
        <v>8.0000000000000002E-3</v>
      </c>
      <c r="E5" s="6">
        <v>3.1898999999999997E-2</v>
      </c>
      <c r="F5" s="6"/>
      <c r="G5" s="6"/>
      <c r="H5" s="6"/>
      <c r="I5" s="6">
        <v>3.5590000000000001E-3</v>
      </c>
      <c r="J5" s="6"/>
      <c r="K5" s="6"/>
      <c r="L5" s="6"/>
      <c r="M5" s="6">
        <v>3.604E-3</v>
      </c>
      <c r="N5" s="6">
        <v>2.1899999999999999E-2</v>
      </c>
      <c r="O5" s="6">
        <v>4.8999999999999998E-3</v>
      </c>
      <c r="P5" s="6"/>
      <c r="Q5" s="6"/>
      <c r="R5" s="6"/>
      <c r="S5" s="6"/>
      <c r="T5" s="6"/>
    </row>
    <row r="6" spans="1:20" x14ac:dyDescent="0.3">
      <c r="A6" s="8" t="s">
        <v>37</v>
      </c>
      <c r="B6" s="6">
        <v>4</v>
      </c>
      <c r="C6" s="6">
        <v>1.9E-2</v>
      </c>
      <c r="D6" s="6"/>
      <c r="E6" s="6">
        <v>3.8752000000000002E-2</v>
      </c>
      <c r="F6" s="6"/>
      <c r="G6" s="6"/>
      <c r="H6" s="6"/>
      <c r="I6" s="6">
        <v>6.829E-3</v>
      </c>
      <c r="J6" s="6"/>
      <c r="K6" s="6"/>
      <c r="L6" s="6"/>
      <c r="M6" s="6">
        <v>2.2539999999999999E-3</v>
      </c>
      <c r="N6" s="6">
        <v>2.8000000000000001E-2</v>
      </c>
      <c r="O6" s="6">
        <v>1.0200000000000001E-2</v>
      </c>
      <c r="P6" s="6"/>
      <c r="Q6" s="6"/>
      <c r="R6" s="6"/>
      <c r="S6" s="6"/>
      <c r="T6" s="6"/>
    </row>
    <row r="7" spans="1:20" x14ac:dyDescent="0.3">
      <c r="A7" s="8" t="s">
        <v>38</v>
      </c>
      <c r="B7" s="6">
        <v>5</v>
      </c>
      <c r="C7" s="6">
        <v>1.6E-2</v>
      </c>
      <c r="D7" s="6"/>
      <c r="E7" s="6"/>
      <c r="F7" s="6"/>
      <c r="G7" s="6"/>
      <c r="H7" s="6"/>
      <c r="I7" s="6"/>
      <c r="J7" s="6"/>
      <c r="K7" s="6"/>
      <c r="L7" s="6"/>
      <c r="M7" s="6">
        <v>2.8830000000000001E-3</v>
      </c>
      <c r="N7" s="6">
        <v>3.3500000000000002E-2</v>
      </c>
      <c r="O7" s="6">
        <v>1.11E-2</v>
      </c>
      <c r="P7" s="6"/>
      <c r="Q7" s="6"/>
      <c r="R7" s="6"/>
      <c r="S7" s="6"/>
      <c r="T7" s="6"/>
    </row>
    <row r="8" spans="1:20" x14ac:dyDescent="0.3">
      <c r="A8" s="8" t="s">
        <v>39</v>
      </c>
      <c r="B8" s="6">
        <v>6</v>
      </c>
      <c r="C8" s="6">
        <v>1.2E-2</v>
      </c>
      <c r="D8" s="6"/>
      <c r="E8" s="6"/>
      <c r="F8" s="6"/>
      <c r="G8" s="6"/>
      <c r="H8" s="6"/>
      <c r="I8" s="6"/>
      <c r="J8" s="6"/>
      <c r="K8" s="6"/>
      <c r="L8" s="6"/>
      <c r="M8" s="6">
        <v>4.0819999999999997E-3</v>
      </c>
      <c r="N8" s="6">
        <v>3.2599999999999997E-2</v>
      </c>
      <c r="O8" s="6">
        <v>2.1299999999999999E-2</v>
      </c>
      <c r="P8" s="6"/>
      <c r="Q8" s="6"/>
      <c r="R8" s="6"/>
      <c r="S8" s="6"/>
      <c r="T8" s="6"/>
    </row>
    <row r="9" spans="1:20" x14ac:dyDescent="0.3">
      <c r="A9" s="8" t="s">
        <v>40</v>
      </c>
      <c r="B9" s="6">
        <v>7</v>
      </c>
      <c r="C9" s="6">
        <v>1.7000000000000001E-2</v>
      </c>
      <c r="D9" s="6"/>
      <c r="E9" s="6"/>
      <c r="F9" s="6"/>
      <c r="G9" s="6"/>
      <c r="H9" s="6"/>
      <c r="I9" s="6"/>
      <c r="J9" s="6"/>
      <c r="K9" s="6"/>
      <c r="L9" s="6"/>
      <c r="M9" s="6"/>
      <c r="N9" s="6">
        <v>4.1799999999999997E-2</v>
      </c>
      <c r="O9" s="6">
        <v>2.63E-2</v>
      </c>
      <c r="P9" s="6"/>
      <c r="Q9" s="6"/>
      <c r="R9" s="6"/>
      <c r="S9" s="6"/>
      <c r="T9" s="6"/>
    </row>
    <row r="14" spans="1:20" x14ac:dyDescent="0.3">
      <c r="A14" t="s">
        <v>46</v>
      </c>
    </row>
    <row r="15" spans="1:20" x14ac:dyDescent="0.3">
      <c r="A15" s="8" t="s">
        <v>33</v>
      </c>
      <c r="B15" s="6">
        <v>0.21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2.5000000000000001E-2</v>
      </c>
      <c r="P15" s="6">
        <v>5.1999999999999998E-2</v>
      </c>
      <c r="Q15" s="6"/>
      <c r="R15" s="6"/>
      <c r="S15" s="6">
        <v>4.4999999999999998E-2</v>
      </c>
      <c r="T15" s="6">
        <v>3.2772999999999997E-2</v>
      </c>
    </row>
    <row r="16" spans="1:20" x14ac:dyDescent="0.3">
      <c r="A16" s="8" t="s">
        <v>34</v>
      </c>
      <c r="B16" s="6">
        <v>0.21</v>
      </c>
      <c r="C16" s="6">
        <v>7.2999999999999995E-2</v>
      </c>
      <c r="D16" s="6">
        <v>2.3774E-2</v>
      </c>
      <c r="E16" s="6">
        <v>2.5000000000000001E-2</v>
      </c>
      <c r="F16" s="6"/>
      <c r="G16" s="6"/>
      <c r="H16" s="6">
        <v>3.5999999999999997E-2</v>
      </c>
      <c r="I16" s="6">
        <v>1.9E-2</v>
      </c>
      <c r="J16" s="6"/>
      <c r="K16" s="6"/>
      <c r="L16" s="6"/>
      <c r="M16" s="6"/>
      <c r="N16" s="6"/>
      <c r="O16" s="6">
        <v>2.5000000000000001E-2</v>
      </c>
      <c r="P16" s="6">
        <v>6.0999999999999999E-2</v>
      </c>
      <c r="Q16" s="6"/>
      <c r="R16" s="6"/>
      <c r="S16" s="6">
        <v>2.1000000000000001E-2</v>
      </c>
      <c r="T16" s="6">
        <v>2.0504999999999999E-2</v>
      </c>
    </row>
    <row r="17" spans="1:20" x14ac:dyDescent="0.3">
      <c r="A17" s="8" t="s">
        <v>35</v>
      </c>
      <c r="B17" s="6">
        <v>2</v>
      </c>
      <c r="C17" s="6">
        <v>5.5E-2</v>
      </c>
      <c r="D17" s="6">
        <v>3.0227E-2</v>
      </c>
      <c r="E17" s="6">
        <v>2.7E-2</v>
      </c>
      <c r="F17" s="6"/>
      <c r="G17" s="6"/>
      <c r="H17" s="6">
        <v>2.1999999999999999E-2</v>
      </c>
      <c r="I17" s="6">
        <v>2.4E-2</v>
      </c>
      <c r="J17" s="6"/>
      <c r="K17" s="6"/>
      <c r="L17" s="6"/>
      <c r="M17" s="6"/>
      <c r="N17" s="6"/>
      <c r="O17" s="6">
        <v>3.7999999999999999E-2</v>
      </c>
      <c r="P17" s="6">
        <v>4.2999999999999997E-2</v>
      </c>
      <c r="Q17" s="6"/>
      <c r="R17" s="6"/>
      <c r="S17" s="6">
        <v>2.5999999999999999E-2</v>
      </c>
      <c r="T17" s="6">
        <v>1.9262000000000001E-2</v>
      </c>
    </row>
    <row r="18" spans="1:20" x14ac:dyDescent="0.3">
      <c r="A18" s="8" t="s">
        <v>36</v>
      </c>
      <c r="B18" s="6">
        <v>3</v>
      </c>
      <c r="C18" s="6">
        <v>6.6000000000000003E-2</v>
      </c>
      <c r="D18" s="6">
        <v>2.1825000000000001E-2</v>
      </c>
      <c r="E18" s="6">
        <v>1.7000000000000001E-2</v>
      </c>
      <c r="F18" s="6"/>
      <c r="G18" s="6"/>
      <c r="H18" s="6"/>
      <c r="I18" s="6">
        <v>3.5999999999999997E-2</v>
      </c>
      <c r="J18" s="6"/>
      <c r="K18" s="6"/>
      <c r="L18" s="6"/>
      <c r="M18" s="6"/>
      <c r="N18" s="6"/>
      <c r="O18" s="6"/>
      <c r="P18" s="6">
        <v>4.7E-2</v>
      </c>
      <c r="Q18" s="6"/>
      <c r="R18" s="6"/>
      <c r="S18" s="6">
        <v>2.9000000000000001E-2</v>
      </c>
      <c r="T18" s="6">
        <v>2.4086E-2</v>
      </c>
    </row>
    <row r="19" spans="1:20" x14ac:dyDescent="0.3">
      <c r="A19" s="8" t="s">
        <v>37</v>
      </c>
      <c r="B19" s="6">
        <v>4</v>
      </c>
      <c r="C19" s="6">
        <v>4.9000000000000002E-2</v>
      </c>
      <c r="D19" s="6">
        <v>3.7595999999999997E-2</v>
      </c>
      <c r="E19" s="6">
        <v>3.2000000000000001E-2</v>
      </c>
      <c r="F19" s="6"/>
      <c r="G19" s="6"/>
      <c r="H19" s="6"/>
      <c r="I19" s="6">
        <v>4.5999999999999999E-2</v>
      </c>
      <c r="J19" s="6"/>
      <c r="K19" s="6"/>
      <c r="L19" s="6"/>
      <c r="M19" s="6"/>
      <c r="N19" s="6"/>
      <c r="O19" s="6"/>
      <c r="P19" s="6">
        <v>5.7000000000000002E-2</v>
      </c>
      <c r="Q19" s="6"/>
      <c r="R19" s="6"/>
      <c r="S19" s="6">
        <v>3.2000000000000001E-2</v>
      </c>
      <c r="T19" s="6">
        <v>2.8711E-2</v>
      </c>
    </row>
    <row r="20" spans="1:20" x14ac:dyDescent="0.3">
      <c r="A20" s="8" t="s">
        <v>38</v>
      </c>
      <c r="B20" s="6">
        <v>5</v>
      </c>
      <c r="C20" s="6">
        <v>4.5999999999999999E-2</v>
      </c>
      <c r="D20" s="6"/>
      <c r="E20" s="6">
        <v>0.04</v>
      </c>
      <c r="F20" s="6"/>
      <c r="G20" s="6"/>
      <c r="H20" s="6"/>
      <c r="I20" s="6">
        <v>6.6000000000000003E-2</v>
      </c>
      <c r="J20" s="6"/>
      <c r="K20" s="6"/>
      <c r="L20" s="6"/>
      <c r="M20" s="6"/>
      <c r="N20" s="6"/>
      <c r="O20" s="6"/>
      <c r="P20" s="6">
        <v>0.06</v>
      </c>
      <c r="Q20" s="6"/>
      <c r="R20" s="6"/>
      <c r="S20" s="6">
        <v>4.1000000000000002E-2</v>
      </c>
      <c r="T20" s="6">
        <v>2.6775E-2</v>
      </c>
    </row>
    <row r="21" spans="1:20" x14ac:dyDescent="0.3">
      <c r="A21" s="8" t="s">
        <v>39</v>
      </c>
      <c r="B21" s="6">
        <v>6</v>
      </c>
      <c r="C21" s="6">
        <v>3.9E-2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>
        <v>0.04</v>
      </c>
      <c r="Q21" s="6"/>
      <c r="R21" s="6"/>
      <c r="S21" s="6">
        <v>4.3999999999999997E-2</v>
      </c>
      <c r="T21" s="6">
        <v>6.4684000000000005E-2</v>
      </c>
    </row>
    <row r="22" spans="1:20" x14ac:dyDescent="0.3">
      <c r="A22" s="8" t="s">
        <v>40</v>
      </c>
      <c r="B22" s="6">
        <v>7</v>
      </c>
      <c r="C22" s="6">
        <v>3.4000000000000002E-2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>
        <v>6.5000000000000002E-2</v>
      </c>
      <c r="Q22" s="6"/>
      <c r="R22" s="6"/>
      <c r="S22" s="6">
        <v>0.04</v>
      </c>
      <c r="T22" s="6">
        <v>5.5601999999999999E-2</v>
      </c>
    </row>
    <row r="23" spans="1:20" x14ac:dyDescent="0.3">
      <c r="A23" s="8"/>
      <c r="B23" s="6"/>
      <c r="C23" s="6">
        <v>4.8000000000000001E-2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x14ac:dyDescent="0.3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x14ac:dyDescent="0.3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x14ac:dyDescent="0.3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3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x14ac:dyDescent="0.3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</sheetData>
  <mergeCells count="2">
    <mergeCell ref="C1:K1"/>
    <mergeCell ref="L1: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74F2-5824-4838-A28C-D8BC45E836DE}">
  <dimension ref="A1:T23"/>
  <sheetViews>
    <sheetView workbookViewId="0">
      <selection activeCell="H23" sqref="H23"/>
    </sheetView>
  </sheetViews>
  <sheetFormatPr defaultRowHeight="14.4" x14ac:dyDescent="0.3"/>
  <sheetData>
    <row r="1" spans="1:20" x14ac:dyDescent="0.3">
      <c r="A1" s="7" t="s">
        <v>45</v>
      </c>
      <c r="B1" s="7"/>
      <c r="C1" s="9" t="s">
        <v>43</v>
      </c>
      <c r="D1" s="9"/>
      <c r="E1" s="9"/>
      <c r="F1" s="9"/>
      <c r="G1" s="9"/>
      <c r="H1" s="9"/>
      <c r="I1" s="9"/>
      <c r="J1" s="9"/>
      <c r="K1" s="9"/>
      <c r="L1" s="9" t="s">
        <v>44</v>
      </c>
      <c r="M1" s="9"/>
      <c r="N1" s="9"/>
      <c r="O1" s="9"/>
      <c r="P1" s="9"/>
      <c r="Q1" s="9"/>
      <c r="R1" s="9"/>
      <c r="S1" s="9"/>
      <c r="T1" s="9"/>
    </row>
    <row r="2" spans="1:20" x14ac:dyDescent="0.3">
      <c r="A2" s="8" t="s">
        <v>33</v>
      </c>
      <c r="B2" s="6">
        <v>0.21</v>
      </c>
      <c r="C2" s="6"/>
      <c r="D2" s="6"/>
      <c r="E2" s="6"/>
      <c r="F2" s="6"/>
      <c r="G2" s="6"/>
      <c r="H2" s="6">
        <v>2E-3</v>
      </c>
      <c r="I2" s="6"/>
      <c r="J2" s="6">
        <v>2E-3</v>
      </c>
      <c r="K2" s="6"/>
      <c r="L2" s="6">
        <v>8.0000000000000002E-3</v>
      </c>
      <c r="M2" s="6">
        <v>1.4999999999999999E-2</v>
      </c>
      <c r="N2" s="6">
        <v>1.8800000000000001E-2</v>
      </c>
      <c r="O2" s="6">
        <v>6.0000000000000001E-3</v>
      </c>
      <c r="P2" s="6">
        <v>8.0000000000000002E-3</v>
      </c>
      <c r="Q2" s="6"/>
      <c r="R2" s="6">
        <v>2.1399999999999999E-2</v>
      </c>
      <c r="S2" s="6"/>
      <c r="T2" s="6">
        <v>2.3E-2</v>
      </c>
    </row>
    <row r="3" spans="1:20" x14ac:dyDescent="0.3">
      <c r="A3" s="8" t="s">
        <v>34</v>
      </c>
      <c r="B3" s="6">
        <v>1</v>
      </c>
      <c r="C3" s="6"/>
      <c r="D3" s="6"/>
      <c r="E3" s="6"/>
      <c r="F3" s="6"/>
      <c r="G3" s="6"/>
      <c r="H3" s="6">
        <v>4.0000000000000001E-3</v>
      </c>
      <c r="I3" s="6"/>
      <c r="J3" s="6">
        <v>7.0000000000000001E-3</v>
      </c>
      <c r="K3" s="6"/>
      <c r="L3" s="6">
        <v>1.0999999999999999E-2</v>
      </c>
      <c r="M3" s="6">
        <v>1.2999999999999999E-2</v>
      </c>
      <c r="N3" s="6">
        <v>1.24E-2</v>
      </c>
      <c r="O3" s="6">
        <v>4.0000000000000001E-3</v>
      </c>
      <c r="P3" s="6">
        <v>8.9999999999999993E-3</v>
      </c>
      <c r="Q3" s="6"/>
      <c r="R3" s="6">
        <v>1.5900000000000001E-2</v>
      </c>
      <c r="S3" s="6"/>
      <c r="T3" s="6">
        <v>3.5000000000000003E-2</v>
      </c>
    </row>
    <row r="4" spans="1:20" x14ac:dyDescent="0.3">
      <c r="A4" s="8" t="s">
        <v>35</v>
      </c>
      <c r="B4" s="6">
        <v>2</v>
      </c>
      <c r="C4" s="6"/>
      <c r="D4" s="6"/>
      <c r="E4" s="6"/>
      <c r="F4" s="6"/>
      <c r="G4" s="6"/>
      <c r="H4" s="6">
        <v>6.0000000000000001E-3</v>
      </c>
      <c r="I4" s="6"/>
      <c r="J4" s="6">
        <v>0.01</v>
      </c>
      <c r="K4" s="6"/>
      <c r="L4" s="6">
        <v>5.0000000000000001E-3</v>
      </c>
      <c r="M4" s="6">
        <v>1.6E-2</v>
      </c>
      <c r="N4" s="6">
        <v>4.4999999999999997E-3</v>
      </c>
      <c r="O4" s="6">
        <v>4.0000000000000001E-3</v>
      </c>
      <c r="P4" s="6">
        <v>1.9E-2</v>
      </c>
      <c r="Q4" s="6"/>
      <c r="R4" s="6">
        <v>1.34E-2</v>
      </c>
      <c r="S4" s="6"/>
      <c r="T4" s="6">
        <v>2.1000000000000001E-2</v>
      </c>
    </row>
    <row r="5" spans="1:20" x14ac:dyDescent="0.3">
      <c r="A5" s="8" t="s">
        <v>36</v>
      </c>
      <c r="B5" s="6">
        <v>3</v>
      </c>
      <c r="C5" s="6"/>
      <c r="D5" s="6"/>
      <c r="E5" s="6"/>
      <c r="F5" s="6"/>
      <c r="G5" s="6"/>
      <c r="H5" s="6">
        <v>3.0000000000000001E-3</v>
      </c>
      <c r="I5" s="6"/>
      <c r="J5" s="6">
        <v>8.9999999999999993E-3</v>
      </c>
      <c r="K5" s="6"/>
      <c r="L5" s="6">
        <v>5.0000000000000001E-3</v>
      </c>
      <c r="M5" s="6">
        <v>1.6E-2</v>
      </c>
      <c r="N5" s="6">
        <v>3.8999999999999998E-3</v>
      </c>
      <c r="O5" s="6">
        <v>3.0000000000000001E-3</v>
      </c>
      <c r="P5" s="6">
        <v>3.2000000000000001E-2</v>
      </c>
      <c r="Q5" s="6"/>
      <c r="R5" s="6">
        <v>9.7000000000000003E-3</v>
      </c>
      <c r="S5" s="6"/>
      <c r="T5" s="6">
        <v>1.2E-2</v>
      </c>
    </row>
    <row r="6" spans="1:20" x14ac:dyDescent="0.3">
      <c r="A6" s="8" t="s">
        <v>37</v>
      </c>
      <c r="B6" s="6">
        <v>4</v>
      </c>
      <c r="C6" s="6"/>
      <c r="D6" s="6"/>
      <c r="E6" s="6"/>
      <c r="F6" s="6"/>
      <c r="G6" s="6"/>
      <c r="H6" s="6">
        <v>2E-3</v>
      </c>
      <c r="I6" s="6"/>
      <c r="J6" s="6">
        <v>8.9999999999999993E-3</v>
      </c>
      <c r="K6" s="6"/>
      <c r="L6" s="6">
        <v>1.4E-2</v>
      </c>
      <c r="M6" s="6">
        <v>2.8000000000000001E-2</v>
      </c>
      <c r="N6" s="6">
        <v>2.8999999999999998E-3</v>
      </c>
      <c r="O6" s="6">
        <v>2E-3</v>
      </c>
      <c r="P6" s="6">
        <v>1.4999999999999999E-2</v>
      </c>
      <c r="Q6" s="6"/>
      <c r="R6" s="6">
        <v>6.3E-3</v>
      </c>
      <c r="S6" s="6"/>
      <c r="T6" s="6">
        <v>1.0999999999999999E-2</v>
      </c>
    </row>
    <row r="7" spans="1:20" x14ac:dyDescent="0.3">
      <c r="A7" s="8" t="s">
        <v>38</v>
      </c>
      <c r="B7" s="6">
        <v>5</v>
      </c>
      <c r="C7" s="6"/>
      <c r="D7" s="6"/>
      <c r="E7" s="6"/>
      <c r="F7" s="6"/>
      <c r="G7" s="6"/>
      <c r="H7" s="6">
        <v>6.0000000000000001E-3</v>
      </c>
      <c r="I7" s="6"/>
      <c r="J7" s="6">
        <v>1.4E-2</v>
      </c>
      <c r="K7" s="6"/>
      <c r="L7" s="6">
        <v>1.0999999999999999E-2</v>
      </c>
      <c r="M7" s="6">
        <v>8.9999999999999993E-3</v>
      </c>
      <c r="N7" s="6">
        <v>4.1999999999999997E-3</v>
      </c>
      <c r="O7" s="6">
        <v>2E-3</v>
      </c>
      <c r="P7" s="6">
        <v>1.0999999999999999E-2</v>
      </c>
      <c r="Q7" s="6"/>
      <c r="R7" s="6">
        <v>5.5999999999999999E-3</v>
      </c>
      <c r="S7" s="6"/>
      <c r="T7" s="6">
        <v>1.7000000000000001E-2</v>
      </c>
    </row>
    <row r="8" spans="1:20" x14ac:dyDescent="0.3">
      <c r="A8" s="8" t="s">
        <v>39</v>
      </c>
      <c r="B8" s="6">
        <v>6</v>
      </c>
      <c r="C8" s="6"/>
      <c r="D8" s="6"/>
      <c r="E8" s="6"/>
      <c r="F8" s="6"/>
      <c r="G8" s="6"/>
      <c r="H8" s="6">
        <v>8.0000000000000002E-3</v>
      </c>
      <c r="I8" s="6"/>
      <c r="J8" s="6">
        <v>1.7999999999999999E-2</v>
      </c>
      <c r="K8" s="6"/>
      <c r="L8" s="6">
        <v>8.9999999999999993E-3</v>
      </c>
      <c r="M8" s="6">
        <v>7.0000000000000001E-3</v>
      </c>
      <c r="N8" s="6">
        <v>6.4999999999999997E-3</v>
      </c>
      <c r="O8" s="6">
        <v>4.0000000000000001E-3</v>
      </c>
      <c r="P8" s="6">
        <v>0.01</v>
      </c>
      <c r="Q8" s="6"/>
      <c r="R8" s="6">
        <v>6.6E-3</v>
      </c>
      <c r="S8" s="6"/>
      <c r="T8" s="6">
        <v>1.9E-2</v>
      </c>
    </row>
    <row r="9" spans="1:20" x14ac:dyDescent="0.3">
      <c r="A9" s="8" t="s">
        <v>40</v>
      </c>
      <c r="B9" s="6">
        <v>7</v>
      </c>
      <c r="C9" s="6"/>
      <c r="D9" s="6"/>
      <c r="E9" s="6"/>
      <c r="F9" s="6"/>
      <c r="G9" s="6"/>
      <c r="H9" s="6">
        <v>8.0000000000000002E-3</v>
      </c>
      <c r="I9" s="6"/>
      <c r="J9" s="6">
        <v>1.4999999999999999E-2</v>
      </c>
      <c r="K9" s="6"/>
      <c r="L9" s="6">
        <v>5.0000000000000001E-3</v>
      </c>
      <c r="M9" s="6">
        <v>6.0000000000000001E-3</v>
      </c>
      <c r="N9" s="6">
        <v>1.34E-2</v>
      </c>
      <c r="O9" s="6">
        <v>4.0000000000000001E-3</v>
      </c>
      <c r="P9" s="6">
        <v>8.9999999999999993E-3</v>
      </c>
      <c r="Q9" s="6"/>
      <c r="R9" s="6">
        <v>9.9000000000000008E-3</v>
      </c>
      <c r="S9" s="6"/>
      <c r="T9" s="6">
        <v>0.03</v>
      </c>
    </row>
    <row r="13" spans="1:20" x14ac:dyDescent="0.3">
      <c r="A13" t="s">
        <v>46</v>
      </c>
    </row>
    <row r="14" spans="1:20" x14ac:dyDescent="0.3">
      <c r="A14" s="8" t="s">
        <v>35</v>
      </c>
      <c r="B14" s="6">
        <v>2</v>
      </c>
      <c r="C14" s="6"/>
      <c r="D14" s="6"/>
      <c r="E14" s="6"/>
      <c r="F14" s="6"/>
      <c r="G14" s="6"/>
      <c r="H14" s="6">
        <v>4.7E-2</v>
      </c>
      <c r="I14" s="6"/>
      <c r="J14" s="6">
        <v>3.5000000000000003E-2</v>
      </c>
      <c r="K14" s="6"/>
      <c r="L14" s="6">
        <v>2.1000000000000001E-2</v>
      </c>
      <c r="M14" s="6">
        <v>1.0999999999999999E-2</v>
      </c>
      <c r="N14" s="6">
        <v>1.0999999999999999E-2</v>
      </c>
      <c r="O14" s="6">
        <v>7.0000000000000001E-3</v>
      </c>
      <c r="P14" s="6">
        <v>3.1E-2</v>
      </c>
      <c r="Q14" s="6"/>
      <c r="R14" s="6">
        <v>4.3999999999999997E-2</v>
      </c>
      <c r="S14" s="6"/>
      <c r="T14" s="6">
        <v>1.2E-2</v>
      </c>
    </row>
    <row r="15" spans="1:20" x14ac:dyDescent="0.3">
      <c r="A15" s="8" t="s">
        <v>36</v>
      </c>
      <c r="B15" s="6">
        <v>3</v>
      </c>
      <c r="C15" s="6"/>
      <c r="D15" s="6"/>
      <c r="E15" s="6"/>
      <c r="F15" s="6"/>
      <c r="G15" s="6"/>
      <c r="H15" s="6">
        <v>0.04</v>
      </c>
      <c r="I15" s="6"/>
      <c r="J15" s="6">
        <v>2.9000000000000001E-2</v>
      </c>
      <c r="K15" s="6"/>
      <c r="L15" s="6">
        <v>1.7999999999999999E-2</v>
      </c>
      <c r="M15" s="6">
        <v>3.0000000000000001E-3</v>
      </c>
      <c r="N15" s="6">
        <v>8.9999999999999993E-3</v>
      </c>
      <c r="O15" s="6">
        <v>2E-3</v>
      </c>
      <c r="P15" s="6">
        <v>0.02</v>
      </c>
      <c r="Q15" s="6"/>
      <c r="R15" s="6">
        <v>3.2000000000000001E-2</v>
      </c>
      <c r="S15" s="6"/>
      <c r="T15" s="6">
        <v>1.06E-2</v>
      </c>
    </row>
    <row r="16" spans="1:20" x14ac:dyDescent="0.3">
      <c r="A16" s="8" t="s">
        <v>37</v>
      </c>
      <c r="B16" s="6">
        <v>4</v>
      </c>
      <c r="C16" s="6"/>
      <c r="D16" s="6"/>
      <c r="E16" s="6"/>
      <c r="F16" s="6"/>
      <c r="G16" s="6"/>
      <c r="H16" s="6">
        <v>3.4000000000000002E-2</v>
      </c>
      <c r="I16" s="6"/>
      <c r="J16" s="6">
        <v>1.4999999999999999E-2</v>
      </c>
      <c r="K16" s="6"/>
      <c r="L16" s="6">
        <v>1.7999999999999999E-2</v>
      </c>
      <c r="M16" s="6">
        <v>6.0000000000000001E-3</v>
      </c>
      <c r="N16" s="6">
        <v>7.0000000000000001E-3</v>
      </c>
      <c r="O16" s="6">
        <v>2E-3</v>
      </c>
      <c r="P16" s="6">
        <v>1.2E-2</v>
      </c>
      <c r="Q16" s="6"/>
      <c r="R16" s="6">
        <v>2.5000000000000001E-2</v>
      </c>
      <c r="S16" s="6"/>
      <c r="T16" s="6">
        <v>1.2800000000000001E-2</v>
      </c>
    </row>
    <row r="17" spans="1:20" x14ac:dyDescent="0.3">
      <c r="A17" s="8" t="s">
        <v>38</v>
      </c>
      <c r="B17" s="6">
        <v>5</v>
      </c>
      <c r="C17" s="6"/>
      <c r="D17" s="6"/>
      <c r="E17" s="6"/>
      <c r="F17" s="6"/>
      <c r="G17" s="6"/>
      <c r="H17" s="6">
        <v>3.5999999999999997E-2</v>
      </c>
      <c r="I17" s="6"/>
      <c r="J17" s="6">
        <v>2.3E-2</v>
      </c>
      <c r="K17" s="6"/>
      <c r="L17" s="6">
        <v>0.02</v>
      </c>
      <c r="M17" s="6">
        <v>8.0000000000000002E-3</v>
      </c>
      <c r="N17" s="6">
        <v>7.0000000000000001E-3</v>
      </c>
      <c r="O17" s="6">
        <v>7.0000000000000001E-3</v>
      </c>
      <c r="P17" s="6">
        <v>1.6E-2</v>
      </c>
      <c r="Q17" s="6"/>
      <c r="R17" s="6">
        <v>1.0999999999999999E-2</v>
      </c>
      <c r="S17" s="6"/>
      <c r="T17" s="6">
        <v>1.61E-2</v>
      </c>
    </row>
    <row r="18" spans="1:20" x14ac:dyDescent="0.3">
      <c r="A18" s="8" t="s">
        <v>39</v>
      </c>
      <c r="B18" s="6">
        <v>6</v>
      </c>
      <c r="C18" s="6"/>
      <c r="D18" s="6"/>
      <c r="E18" s="6"/>
      <c r="F18" s="6"/>
      <c r="G18" s="6"/>
      <c r="H18" s="6">
        <v>3.2000000000000001E-2</v>
      </c>
      <c r="I18" s="6"/>
      <c r="J18" s="6">
        <v>2.1999999999999999E-2</v>
      </c>
      <c r="K18" s="6"/>
      <c r="L18" s="6">
        <v>2.7E-2</v>
      </c>
      <c r="M18" s="6">
        <v>1.2E-2</v>
      </c>
      <c r="N18" s="6">
        <v>6.0000000000000001E-3</v>
      </c>
      <c r="O18" s="6">
        <v>6.0000000000000001E-3</v>
      </c>
      <c r="P18" s="6">
        <v>0.01</v>
      </c>
      <c r="Q18" s="6"/>
      <c r="R18" s="6">
        <v>0.01</v>
      </c>
      <c r="S18" s="6"/>
      <c r="T18" s="6">
        <v>2.63E-2</v>
      </c>
    </row>
    <row r="19" spans="1:20" x14ac:dyDescent="0.3">
      <c r="A19" s="8" t="s">
        <v>40</v>
      </c>
      <c r="B19" s="6">
        <v>7</v>
      </c>
      <c r="C19" s="6"/>
      <c r="D19" s="6"/>
      <c r="E19" s="6"/>
      <c r="F19" s="6"/>
      <c r="G19" s="6"/>
      <c r="H19" s="6">
        <v>3.3000000000000002E-2</v>
      </c>
      <c r="I19" s="6"/>
      <c r="J19" s="6">
        <v>3.2000000000000001E-2</v>
      </c>
      <c r="K19" s="6"/>
      <c r="L19" s="6">
        <v>2.4E-2</v>
      </c>
      <c r="M19" s="6">
        <v>0.01</v>
      </c>
      <c r="N19" s="6">
        <v>7.0000000000000001E-3</v>
      </c>
      <c r="O19" s="6">
        <v>1.6E-2</v>
      </c>
      <c r="P19" s="6">
        <v>6.0000000000000001E-3</v>
      </c>
      <c r="Q19" s="6"/>
      <c r="R19" s="6">
        <v>0.01</v>
      </c>
      <c r="S19" s="6"/>
      <c r="T19" s="6">
        <v>2.3199999999999998E-2</v>
      </c>
    </row>
    <row r="20" spans="1:20" x14ac:dyDescent="0.3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x14ac:dyDescent="0.3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x14ac:dyDescent="0.3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x14ac:dyDescent="0.3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</sheetData>
  <mergeCells count="2">
    <mergeCell ref="C1:K1"/>
    <mergeCell ref="L1: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A567E-AC51-4F68-B2DB-D6215DDF1F15}">
  <dimension ref="A1:T42"/>
  <sheetViews>
    <sheetView workbookViewId="0">
      <selection activeCell="A34" sqref="A34"/>
    </sheetView>
  </sheetViews>
  <sheetFormatPr defaultRowHeight="14.4" x14ac:dyDescent="0.3"/>
  <sheetData>
    <row r="1" spans="1:20" x14ac:dyDescent="0.3">
      <c r="A1" s="7" t="s">
        <v>45</v>
      </c>
      <c r="B1" s="7"/>
      <c r="C1" s="9" t="s">
        <v>30</v>
      </c>
      <c r="D1" s="9"/>
      <c r="E1" s="9"/>
      <c r="F1" s="9"/>
      <c r="G1" s="9"/>
      <c r="H1" s="9"/>
      <c r="I1" s="9"/>
      <c r="J1" s="9"/>
      <c r="K1" s="9"/>
    </row>
    <row r="2" spans="1:20" x14ac:dyDescent="0.3">
      <c r="A2" s="8" t="s">
        <v>33</v>
      </c>
      <c r="B2" s="6">
        <v>0.21</v>
      </c>
      <c r="C2" s="6">
        <v>8.0000000000000002E-3</v>
      </c>
      <c r="D2" s="6">
        <v>8.9999999999999993E-3</v>
      </c>
      <c r="E2" s="6">
        <v>8.8979999999999997E-3</v>
      </c>
      <c r="F2" s="6">
        <v>8.9999999999999993E-3</v>
      </c>
      <c r="G2" s="6">
        <v>3.3758000000000003E-2</v>
      </c>
      <c r="H2" s="6">
        <v>8.123E-3</v>
      </c>
      <c r="I2" s="6">
        <v>4.3059999999999999E-3</v>
      </c>
      <c r="J2" s="6">
        <v>1.37E-2</v>
      </c>
      <c r="K2" s="6">
        <v>1.06E-2</v>
      </c>
    </row>
    <row r="3" spans="1:20" x14ac:dyDescent="0.3">
      <c r="A3" s="8" t="s">
        <v>34</v>
      </c>
      <c r="B3" s="6">
        <v>1</v>
      </c>
      <c r="C3" s="6">
        <v>0.02</v>
      </c>
      <c r="D3" s="6">
        <v>8.9999999999999993E-3</v>
      </c>
      <c r="E3" s="6">
        <v>2.547E-2</v>
      </c>
      <c r="F3" s="6">
        <v>1.4999999999999999E-2</v>
      </c>
      <c r="G3" s="6">
        <v>6.0749999999999997E-3</v>
      </c>
      <c r="H3" s="6">
        <v>1.1018999999999999E-2</v>
      </c>
      <c r="I3" s="6">
        <v>4.1000000000000003E-3</v>
      </c>
      <c r="J3" s="6">
        <v>2.4199999999999999E-2</v>
      </c>
      <c r="K3" s="6">
        <v>1.4E-2</v>
      </c>
    </row>
    <row r="4" spans="1:20" x14ac:dyDescent="0.3">
      <c r="A4" s="8" t="s">
        <v>35</v>
      </c>
      <c r="B4" s="6">
        <v>2</v>
      </c>
      <c r="C4" s="6">
        <v>2.5999999999999999E-2</v>
      </c>
      <c r="D4" s="6">
        <v>0.01</v>
      </c>
      <c r="E4" s="6">
        <v>2.7061000000000002E-2</v>
      </c>
      <c r="F4" s="6">
        <v>2.8000000000000001E-2</v>
      </c>
      <c r="G4" s="6">
        <v>4.2839999999999996E-3</v>
      </c>
      <c r="H4" s="6"/>
      <c r="I4" s="6">
        <v>3.4199999999999999E-3</v>
      </c>
      <c r="J4" s="6">
        <v>1.83E-2</v>
      </c>
      <c r="K4" s="6">
        <v>1.1900000000000001E-2</v>
      </c>
    </row>
    <row r="5" spans="1:20" x14ac:dyDescent="0.3">
      <c r="A5" s="8" t="s">
        <v>36</v>
      </c>
      <c r="B5" s="6">
        <v>3</v>
      </c>
      <c r="C5" s="6">
        <v>2.1000000000000001E-2</v>
      </c>
      <c r="D5" s="6">
        <v>8.0000000000000002E-3</v>
      </c>
      <c r="E5" s="6">
        <v>3.1898999999999997E-2</v>
      </c>
      <c r="F5" s="6"/>
      <c r="G5" s="6">
        <v>3.604E-3</v>
      </c>
      <c r="H5" s="6"/>
      <c r="I5" s="6">
        <v>3.5590000000000001E-3</v>
      </c>
      <c r="J5" s="6">
        <v>2.1899999999999999E-2</v>
      </c>
      <c r="K5" s="6">
        <v>4.8999999999999998E-3</v>
      </c>
    </row>
    <row r="6" spans="1:20" x14ac:dyDescent="0.3">
      <c r="A6" s="8" t="s">
        <v>37</v>
      </c>
      <c r="B6" s="6">
        <v>4</v>
      </c>
      <c r="C6" s="6">
        <v>1.9E-2</v>
      </c>
      <c r="D6" s="6"/>
      <c r="E6" s="6">
        <v>3.8752000000000002E-2</v>
      </c>
      <c r="F6" s="6"/>
      <c r="G6" s="6">
        <v>2.2539999999999999E-3</v>
      </c>
      <c r="H6" s="6"/>
      <c r="I6" s="6">
        <v>6.829E-3</v>
      </c>
      <c r="J6" s="6">
        <v>2.8000000000000001E-2</v>
      </c>
      <c r="K6" s="6">
        <v>1.0200000000000001E-2</v>
      </c>
    </row>
    <row r="7" spans="1:20" x14ac:dyDescent="0.3">
      <c r="A7" s="8" t="s">
        <v>38</v>
      </c>
      <c r="B7" s="6">
        <v>5</v>
      </c>
      <c r="C7" s="6">
        <v>1.6E-2</v>
      </c>
      <c r="D7" s="6"/>
      <c r="E7" s="6"/>
      <c r="F7" s="6"/>
      <c r="G7" s="6">
        <v>2.8830000000000001E-3</v>
      </c>
      <c r="H7" s="6"/>
      <c r="I7" s="6"/>
      <c r="J7" s="6">
        <v>3.3500000000000002E-2</v>
      </c>
      <c r="K7" s="6">
        <v>1.11E-2</v>
      </c>
    </row>
    <row r="8" spans="1:20" x14ac:dyDescent="0.3">
      <c r="A8" s="8" t="s">
        <v>39</v>
      </c>
      <c r="B8" s="6">
        <v>6</v>
      </c>
      <c r="C8" s="6">
        <v>1.2E-2</v>
      </c>
      <c r="D8" s="6"/>
      <c r="E8" s="6"/>
      <c r="F8" s="6"/>
      <c r="G8" s="6">
        <v>4.0819999999999997E-3</v>
      </c>
      <c r="H8" s="6"/>
      <c r="I8" s="6"/>
      <c r="J8" s="6">
        <v>3.2599999999999997E-2</v>
      </c>
      <c r="K8" s="6">
        <v>2.1299999999999999E-2</v>
      </c>
    </row>
    <row r="9" spans="1:20" x14ac:dyDescent="0.3">
      <c r="A9" s="8" t="s">
        <v>40</v>
      </c>
      <c r="B9" s="6">
        <v>7</v>
      </c>
      <c r="C9" s="6">
        <v>1.7000000000000001E-2</v>
      </c>
      <c r="D9" s="6"/>
      <c r="E9" s="6"/>
      <c r="F9" s="6"/>
      <c r="G9" s="6"/>
      <c r="H9" s="6"/>
      <c r="I9" s="6"/>
      <c r="J9" s="6">
        <v>4.1799999999999997E-2</v>
      </c>
      <c r="K9" s="6">
        <v>2.63E-2</v>
      </c>
    </row>
    <row r="12" spans="1:20" x14ac:dyDescent="0.3">
      <c r="A12" s="7" t="s">
        <v>45</v>
      </c>
      <c r="B12" s="7"/>
      <c r="C12" s="9" t="s">
        <v>47</v>
      </c>
      <c r="D12" s="9"/>
      <c r="E12" s="9"/>
      <c r="F12" s="9"/>
      <c r="G12" s="9"/>
      <c r="H12" s="9"/>
      <c r="I12" s="9"/>
      <c r="J12" s="9"/>
      <c r="K12" s="9"/>
      <c r="L12" s="9" t="s">
        <v>48</v>
      </c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8" t="s">
        <v>33</v>
      </c>
      <c r="B13" s="6">
        <v>0.21</v>
      </c>
      <c r="C13" s="6">
        <v>8.0000000000000002E-3</v>
      </c>
      <c r="D13" s="6"/>
      <c r="E13" s="6">
        <v>8.8979999999999997E-3</v>
      </c>
      <c r="F13" s="6"/>
      <c r="G13" s="6"/>
      <c r="H13" s="6">
        <v>8.123E-3</v>
      </c>
      <c r="I13" s="6">
        <v>4.3059999999999999E-3</v>
      </c>
      <c r="J13" s="6"/>
      <c r="K13" s="6"/>
      <c r="L13" s="6"/>
      <c r="M13" s="6">
        <v>8.9999999999999993E-3</v>
      </c>
      <c r="N13" s="6"/>
      <c r="O13" s="6">
        <v>8.9999999999999993E-3</v>
      </c>
      <c r="P13" s="6">
        <v>3.3758000000000003E-2</v>
      </c>
      <c r="Q13" s="6"/>
      <c r="R13" s="6"/>
      <c r="S13" s="6">
        <v>1.37E-2</v>
      </c>
      <c r="T13" s="6">
        <v>1.06E-2</v>
      </c>
    </row>
    <row r="14" spans="1:20" x14ac:dyDescent="0.3">
      <c r="A14" s="8" t="s">
        <v>34</v>
      </c>
      <c r="B14" s="6">
        <v>1</v>
      </c>
      <c r="C14" s="6">
        <v>0.02</v>
      </c>
      <c r="D14" s="6"/>
      <c r="E14" s="6">
        <v>2.547E-2</v>
      </c>
      <c r="F14" s="6"/>
      <c r="G14" s="6"/>
      <c r="H14" s="6">
        <v>1.1018999999999999E-2</v>
      </c>
      <c r="I14" s="6">
        <v>4.1000000000000003E-3</v>
      </c>
      <c r="J14" s="6"/>
      <c r="K14" s="6"/>
      <c r="L14" s="6"/>
      <c r="M14" s="6">
        <v>8.9999999999999993E-3</v>
      </c>
      <c r="N14" s="6"/>
      <c r="O14" s="6">
        <v>1.4999999999999999E-2</v>
      </c>
      <c r="P14" s="6">
        <v>6.0749999999999997E-3</v>
      </c>
      <c r="Q14" s="6"/>
      <c r="R14" s="6"/>
      <c r="S14" s="6">
        <v>2.4199999999999999E-2</v>
      </c>
      <c r="T14" s="6">
        <v>1.4E-2</v>
      </c>
    </row>
    <row r="15" spans="1:20" x14ac:dyDescent="0.3">
      <c r="A15" s="8" t="s">
        <v>35</v>
      </c>
      <c r="B15" s="6">
        <v>2</v>
      </c>
      <c r="C15" s="6">
        <v>2.5999999999999999E-2</v>
      </c>
      <c r="D15" s="6"/>
      <c r="E15" s="6">
        <v>2.7061000000000002E-2</v>
      </c>
      <c r="F15" s="6"/>
      <c r="G15" s="6"/>
      <c r="H15" s="6"/>
      <c r="I15" s="6">
        <v>3.4199999999999999E-3</v>
      </c>
      <c r="J15" s="6"/>
      <c r="K15" s="6"/>
      <c r="L15" s="6"/>
      <c r="M15" s="6">
        <v>0.01</v>
      </c>
      <c r="N15" s="6"/>
      <c r="O15" s="6">
        <v>2.8000000000000001E-2</v>
      </c>
      <c r="P15" s="6">
        <v>4.2839999999999996E-3</v>
      </c>
      <c r="Q15" s="6"/>
      <c r="R15" s="6"/>
      <c r="S15" s="6">
        <v>1.83E-2</v>
      </c>
      <c r="T15" s="6">
        <v>1.1900000000000001E-2</v>
      </c>
    </row>
    <row r="16" spans="1:20" x14ac:dyDescent="0.3">
      <c r="A16" s="8" t="s">
        <v>36</v>
      </c>
      <c r="B16" s="6">
        <v>3</v>
      </c>
      <c r="C16" s="6">
        <v>2.1000000000000001E-2</v>
      </c>
      <c r="D16" s="6"/>
      <c r="E16" s="6">
        <v>3.1898999999999997E-2</v>
      </c>
      <c r="F16" s="6"/>
      <c r="G16" s="6"/>
      <c r="H16" s="6"/>
      <c r="I16" s="6">
        <v>3.5590000000000001E-3</v>
      </c>
      <c r="J16" s="6"/>
      <c r="K16" s="6"/>
      <c r="L16" s="6"/>
      <c r="M16" s="6">
        <v>8.0000000000000002E-3</v>
      </c>
      <c r="N16" s="6"/>
      <c r="O16" s="6"/>
      <c r="P16" s="6">
        <v>3.604E-3</v>
      </c>
      <c r="Q16" s="6"/>
      <c r="R16" s="6"/>
      <c r="S16" s="6">
        <v>2.1899999999999999E-2</v>
      </c>
      <c r="T16" s="6">
        <v>4.8999999999999998E-3</v>
      </c>
    </row>
    <row r="17" spans="1:20" x14ac:dyDescent="0.3">
      <c r="A17" s="8" t="s">
        <v>37</v>
      </c>
      <c r="B17" s="6">
        <v>4</v>
      </c>
      <c r="C17" s="6">
        <v>1.9E-2</v>
      </c>
      <c r="D17" s="6"/>
      <c r="E17" s="6">
        <v>3.8752000000000002E-2</v>
      </c>
      <c r="F17" s="6"/>
      <c r="G17" s="6"/>
      <c r="H17" s="6"/>
      <c r="I17" s="6">
        <v>6.829E-3</v>
      </c>
      <c r="J17" s="6"/>
      <c r="K17" s="6"/>
      <c r="L17" s="6"/>
      <c r="M17" s="6"/>
      <c r="N17" s="6"/>
      <c r="O17" s="6"/>
      <c r="P17" s="6">
        <v>2.2539999999999999E-3</v>
      </c>
      <c r="Q17" s="6"/>
      <c r="R17" s="6"/>
      <c r="S17" s="6">
        <v>2.8000000000000001E-2</v>
      </c>
      <c r="T17" s="6">
        <v>1.0200000000000001E-2</v>
      </c>
    </row>
    <row r="18" spans="1:20" x14ac:dyDescent="0.3">
      <c r="A18" s="8" t="s">
        <v>38</v>
      </c>
      <c r="B18" s="6">
        <v>5</v>
      </c>
      <c r="C18" s="6">
        <v>1.6E-2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>
        <v>2.8830000000000001E-3</v>
      </c>
      <c r="Q18" s="6"/>
      <c r="R18" s="6"/>
      <c r="S18" s="6">
        <v>3.3500000000000002E-2</v>
      </c>
      <c r="T18" s="6">
        <v>1.11E-2</v>
      </c>
    </row>
    <row r="19" spans="1:20" x14ac:dyDescent="0.3">
      <c r="A19" s="8" t="s">
        <v>39</v>
      </c>
      <c r="B19" s="6">
        <v>6</v>
      </c>
      <c r="C19" s="6">
        <v>1.2E-2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>
        <v>4.0819999999999997E-3</v>
      </c>
      <c r="Q19" s="6"/>
      <c r="R19" s="6"/>
      <c r="S19" s="6">
        <v>3.2599999999999997E-2</v>
      </c>
      <c r="T19" s="6">
        <v>2.1299999999999999E-2</v>
      </c>
    </row>
    <row r="20" spans="1:20" x14ac:dyDescent="0.3">
      <c r="A20" s="8" t="s">
        <v>40</v>
      </c>
      <c r="B20" s="6">
        <v>7</v>
      </c>
      <c r="C20" s="6">
        <v>1.7000000000000001E-2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>
        <v>4.1799999999999997E-2</v>
      </c>
      <c r="T20" s="6">
        <v>2.63E-2</v>
      </c>
    </row>
    <row r="23" spans="1:20" x14ac:dyDescent="0.3">
      <c r="A23" s="7" t="s">
        <v>46</v>
      </c>
      <c r="B23" s="7"/>
      <c r="C23" s="9" t="s">
        <v>30</v>
      </c>
      <c r="D23" s="9"/>
      <c r="E23" s="9"/>
      <c r="F23" s="9"/>
      <c r="G23" s="9"/>
      <c r="H23" s="9"/>
      <c r="I23" s="9"/>
      <c r="J23" s="9"/>
      <c r="K23" s="9"/>
    </row>
    <row r="24" spans="1:20" x14ac:dyDescent="0.3">
      <c r="A24" s="8" t="s">
        <v>33</v>
      </c>
      <c r="B24" s="6">
        <v>0.21</v>
      </c>
      <c r="C24" s="6">
        <v>7.2999999999999995E-2</v>
      </c>
      <c r="D24" s="6">
        <v>2.3774E-2</v>
      </c>
      <c r="E24" s="6">
        <v>2.5000000000000001E-2</v>
      </c>
      <c r="F24" s="6">
        <v>2.5000000000000001E-2</v>
      </c>
      <c r="G24" s="6">
        <v>5.1999999999999998E-2</v>
      </c>
      <c r="H24" s="6">
        <v>3.5999999999999997E-2</v>
      </c>
      <c r="I24" s="6">
        <v>1.9E-2</v>
      </c>
      <c r="J24" s="6">
        <v>4.4999999999999998E-2</v>
      </c>
      <c r="K24" s="6">
        <v>3.2772999999999997E-2</v>
      </c>
    </row>
    <row r="25" spans="1:20" x14ac:dyDescent="0.3">
      <c r="A25" s="8" t="s">
        <v>34</v>
      </c>
      <c r="B25" s="6">
        <v>1</v>
      </c>
      <c r="C25" s="6">
        <v>5.5E-2</v>
      </c>
      <c r="D25" s="6">
        <v>3.0227E-2</v>
      </c>
      <c r="E25" s="6">
        <v>2.7E-2</v>
      </c>
      <c r="F25" s="6">
        <v>2.5000000000000001E-2</v>
      </c>
      <c r="G25" s="6">
        <v>6.0999999999999999E-2</v>
      </c>
      <c r="H25" s="6">
        <v>2.1999999999999999E-2</v>
      </c>
      <c r="I25" s="6">
        <v>2.4E-2</v>
      </c>
      <c r="J25" s="6">
        <v>2.1000000000000001E-2</v>
      </c>
      <c r="K25" s="6">
        <v>2.0504999999999999E-2</v>
      </c>
    </row>
    <row r="26" spans="1:20" x14ac:dyDescent="0.3">
      <c r="A26" s="8" t="s">
        <v>35</v>
      </c>
      <c r="B26" s="6">
        <v>2</v>
      </c>
      <c r="C26" s="6">
        <v>6.6000000000000003E-2</v>
      </c>
      <c r="D26" s="6">
        <v>2.1825000000000001E-2</v>
      </c>
      <c r="E26" s="6">
        <v>1.7000000000000001E-2</v>
      </c>
      <c r="F26" s="6">
        <v>3.7999999999999999E-2</v>
      </c>
      <c r="G26" s="6">
        <v>4.2999999999999997E-2</v>
      </c>
      <c r="H26" s="6"/>
      <c r="I26" s="6">
        <v>3.5999999999999997E-2</v>
      </c>
      <c r="J26" s="6">
        <v>2.5999999999999999E-2</v>
      </c>
      <c r="K26" s="6">
        <v>1.9262000000000001E-2</v>
      </c>
    </row>
    <row r="27" spans="1:20" x14ac:dyDescent="0.3">
      <c r="A27" s="8" t="s">
        <v>36</v>
      </c>
      <c r="B27" s="6">
        <v>3</v>
      </c>
      <c r="C27" s="6">
        <v>4.9000000000000002E-2</v>
      </c>
      <c r="D27" s="6">
        <v>3.7595999999999997E-2</v>
      </c>
      <c r="E27" s="6">
        <v>3.2000000000000001E-2</v>
      </c>
      <c r="F27" s="6"/>
      <c r="G27" s="6">
        <v>4.7E-2</v>
      </c>
      <c r="H27" s="6"/>
      <c r="I27" s="6">
        <v>4.5999999999999999E-2</v>
      </c>
      <c r="J27" s="6">
        <v>2.9000000000000001E-2</v>
      </c>
      <c r="K27" s="6">
        <v>2.4086E-2</v>
      </c>
    </row>
    <row r="28" spans="1:20" x14ac:dyDescent="0.3">
      <c r="A28" s="8" t="s">
        <v>37</v>
      </c>
      <c r="B28" s="6">
        <v>4</v>
      </c>
      <c r="C28" s="6">
        <v>4.5999999999999999E-2</v>
      </c>
      <c r="D28" s="6"/>
      <c r="E28" s="6">
        <v>0.04</v>
      </c>
      <c r="F28" s="6"/>
      <c r="G28" s="6">
        <v>5.7000000000000002E-2</v>
      </c>
      <c r="H28" s="6"/>
      <c r="I28" s="6">
        <v>6.6000000000000003E-2</v>
      </c>
      <c r="J28" s="6">
        <v>3.2000000000000001E-2</v>
      </c>
      <c r="K28" s="6">
        <v>2.8711E-2</v>
      </c>
    </row>
    <row r="29" spans="1:20" x14ac:dyDescent="0.3">
      <c r="A29" s="8" t="s">
        <v>38</v>
      </c>
      <c r="B29" s="6">
        <v>5</v>
      </c>
      <c r="C29" s="6">
        <v>3.9E-2</v>
      </c>
      <c r="D29" s="6"/>
      <c r="E29" s="6"/>
      <c r="F29" s="6"/>
      <c r="G29" s="6">
        <v>0.06</v>
      </c>
      <c r="H29" s="6"/>
      <c r="I29" s="6"/>
      <c r="J29" s="6">
        <v>4.1000000000000002E-2</v>
      </c>
      <c r="K29" s="6">
        <v>2.6775E-2</v>
      </c>
    </row>
    <row r="30" spans="1:20" x14ac:dyDescent="0.3">
      <c r="A30" s="8" t="s">
        <v>39</v>
      </c>
      <c r="B30" s="6">
        <v>6</v>
      </c>
      <c r="C30" s="6">
        <v>3.4000000000000002E-2</v>
      </c>
      <c r="D30" s="6"/>
      <c r="E30" s="6"/>
      <c r="F30" s="6"/>
      <c r="G30" s="6">
        <v>0.04</v>
      </c>
      <c r="H30" s="6"/>
      <c r="I30" s="6"/>
      <c r="J30" s="6">
        <v>4.3999999999999997E-2</v>
      </c>
      <c r="K30" s="6">
        <v>6.4684000000000005E-2</v>
      </c>
    </row>
    <row r="31" spans="1:20" x14ac:dyDescent="0.3">
      <c r="A31" s="8" t="s">
        <v>40</v>
      </c>
      <c r="B31" s="6">
        <v>7</v>
      </c>
      <c r="C31" s="6">
        <v>4.8000000000000001E-2</v>
      </c>
      <c r="D31" s="6"/>
      <c r="E31" s="6"/>
      <c r="F31" s="6"/>
      <c r="G31" s="6">
        <v>6.5000000000000002E-2</v>
      </c>
      <c r="H31" s="6"/>
      <c r="I31" s="6"/>
      <c r="J31" s="6">
        <v>0.04</v>
      </c>
      <c r="K31" s="6">
        <v>5.5601999999999999E-2</v>
      </c>
    </row>
    <row r="34" spans="1:20" x14ac:dyDescent="0.3">
      <c r="A34" s="7" t="s">
        <v>46</v>
      </c>
      <c r="B34" s="7"/>
      <c r="C34" s="9" t="s">
        <v>47</v>
      </c>
      <c r="D34" s="9"/>
      <c r="E34" s="9"/>
      <c r="F34" s="9"/>
      <c r="G34" s="9"/>
      <c r="H34" s="9"/>
      <c r="I34" s="9"/>
      <c r="J34" s="9"/>
      <c r="K34" s="9"/>
      <c r="L34" s="9" t="s">
        <v>48</v>
      </c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8" t="s">
        <v>33</v>
      </c>
      <c r="B35" s="6">
        <v>0.21</v>
      </c>
      <c r="C35" s="6">
        <v>7.2999999999999995E-2</v>
      </c>
      <c r="D35" s="6">
        <v>2.3774E-2</v>
      </c>
      <c r="E35" s="6">
        <v>2.5000000000000001E-2</v>
      </c>
      <c r="F35" s="6">
        <v>2.5000000000000001E-2</v>
      </c>
      <c r="G35" s="6">
        <v>5.1999999999999998E-2</v>
      </c>
      <c r="H35" s="6">
        <v>3.5999999999999997E-2</v>
      </c>
      <c r="I35" s="6">
        <v>1.9E-2</v>
      </c>
      <c r="J35" s="6">
        <v>4.4999999999999998E-2</v>
      </c>
      <c r="K35" s="6">
        <v>3.2772999999999997E-2</v>
      </c>
      <c r="L35" s="6"/>
      <c r="M35" s="6">
        <v>2.3774E-2</v>
      </c>
      <c r="N35" s="6"/>
      <c r="O35" s="6">
        <v>2.5000000000000001E-2</v>
      </c>
      <c r="P35" s="6">
        <v>5.1999999999999998E-2</v>
      </c>
      <c r="Q35" s="6"/>
      <c r="R35" s="6"/>
      <c r="S35" s="6">
        <v>4.4999999999999998E-2</v>
      </c>
      <c r="T35" s="6">
        <v>3.2772999999999997E-2</v>
      </c>
    </row>
    <row r="36" spans="1:20" x14ac:dyDescent="0.3">
      <c r="A36" s="8" t="s">
        <v>34</v>
      </c>
      <c r="B36" s="6">
        <v>1</v>
      </c>
      <c r="C36" s="6">
        <v>5.5E-2</v>
      </c>
      <c r="D36" s="6">
        <v>3.0227E-2</v>
      </c>
      <c r="E36" s="6">
        <v>2.7E-2</v>
      </c>
      <c r="F36" s="6">
        <v>2.5000000000000001E-2</v>
      </c>
      <c r="G36" s="6">
        <v>6.0999999999999999E-2</v>
      </c>
      <c r="H36" s="6">
        <v>2.1999999999999999E-2</v>
      </c>
      <c r="I36" s="6">
        <v>2.4E-2</v>
      </c>
      <c r="J36" s="6">
        <v>2.1000000000000001E-2</v>
      </c>
      <c r="K36" s="6">
        <v>2.0504999999999999E-2</v>
      </c>
      <c r="L36" s="6"/>
      <c r="M36" s="6">
        <v>3.0227E-2</v>
      </c>
      <c r="N36" s="6"/>
      <c r="O36" s="6">
        <v>2.5000000000000001E-2</v>
      </c>
      <c r="P36" s="6">
        <v>6.0999999999999999E-2</v>
      </c>
      <c r="Q36" s="6"/>
      <c r="R36" s="6"/>
      <c r="S36" s="6">
        <v>2.1000000000000001E-2</v>
      </c>
      <c r="T36" s="6">
        <v>2.0504999999999999E-2</v>
      </c>
    </row>
    <row r="37" spans="1:20" x14ac:dyDescent="0.3">
      <c r="A37" s="8" t="s">
        <v>35</v>
      </c>
      <c r="B37" s="6">
        <v>2</v>
      </c>
      <c r="C37" s="6">
        <v>6.6000000000000003E-2</v>
      </c>
      <c r="D37" s="6">
        <v>2.1825000000000001E-2</v>
      </c>
      <c r="E37" s="6">
        <v>1.7000000000000001E-2</v>
      </c>
      <c r="F37" s="6">
        <v>3.7999999999999999E-2</v>
      </c>
      <c r="G37" s="6">
        <v>4.2999999999999997E-2</v>
      </c>
      <c r="H37" s="6"/>
      <c r="I37" s="6">
        <v>3.5999999999999997E-2</v>
      </c>
      <c r="J37" s="6">
        <v>2.5999999999999999E-2</v>
      </c>
      <c r="K37" s="6">
        <v>1.9262000000000001E-2</v>
      </c>
      <c r="L37" s="6"/>
      <c r="M37" s="6">
        <v>2.1825000000000001E-2</v>
      </c>
      <c r="N37" s="6"/>
      <c r="O37" s="6">
        <v>3.7999999999999999E-2</v>
      </c>
      <c r="P37" s="6">
        <v>4.2999999999999997E-2</v>
      </c>
      <c r="Q37" s="6"/>
      <c r="R37" s="6"/>
      <c r="S37" s="6">
        <v>2.5999999999999999E-2</v>
      </c>
      <c r="T37" s="6">
        <v>1.9262000000000001E-2</v>
      </c>
    </row>
    <row r="38" spans="1:20" x14ac:dyDescent="0.3">
      <c r="A38" s="8" t="s">
        <v>36</v>
      </c>
      <c r="B38" s="6">
        <v>3</v>
      </c>
      <c r="C38" s="6">
        <v>4.9000000000000002E-2</v>
      </c>
      <c r="D38" s="6">
        <v>3.7595999999999997E-2</v>
      </c>
      <c r="E38" s="6">
        <v>3.2000000000000001E-2</v>
      </c>
      <c r="F38" s="6"/>
      <c r="G38" s="6">
        <v>4.7E-2</v>
      </c>
      <c r="H38" s="6"/>
      <c r="I38" s="6">
        <v>4.5999999999999999E-2</v>
      </c>
      <c r="J38" s="6">
        <v>2.9000000000000001E-2</v>
      </c>
      <c r="K38" s="6">
        <v>2.4086E-2</v>
      </c>
      <c r="L38" s="6"/>
      <c r="M38" s="6">
        <v>3.7595999999999997E-2</v>
      </c>
      <c r="N38" s="6"/>
      <c r="O38" s="6"/>
      <c r="P38" s="6">
        <v>4.7E-2</v>
      </c>
      <c r="Q38" s="6"/>
      <c r="R38" s="6"/>
      <c r="S38" s="6">
        <v>2.9000000000000001E-2</v>
      </c>
      <c r="T38" s="6">
        <v>2.4086E-2</v>
      </c>
    </row>
    <row r="39" spans="1:20" x14ac:dyDescent="0.3">
      <c r="A39" s="8" t="s">
        <v>37</v>
      </c>
      <c r="B39" s="6">
        <v>4</v>
      </c>
      <c r="C39" s="6">
        <v>4.5999999999999999E-2</v>
      </c>
      <c r="D39" s="6"/>
      <c r="E39" s="6">
        <v>0.04</v>
      </c>
      <c r="F39" s="6"/>
      <c r="G39" s="6">
        <v>5.7000000000000002E-2</v>
      </c>
      <c r="H39" s="6"/>
      <c r="I39" s="6">
        <v>6.6000000000000003E-2</v>
      </c>
      <c r="J39" s="6">
        <v>3.2000000000000001E-2</v>
      </c>
      <c r="K39" s="6">
        <v>2.8711E-2</v>
      </c>
      <c r="L39" s="6"/>
      <c r="M39" s="6"/>
      <c r="N39" s="6"/>
      <c r="O39" s="6"/>
      <c r="P39" s="6">
        <v>5.7000000000000002E-2</v>
      </c>
      <c r="Q39" s="6"/>
      <c r="R39" s="6"/>
      <c r="S39" s="6">
        <v>3.2000000000000001E-2</v>
      </c>
      <c r="T39" s="6">
        <v>2.8711E-2</v>
      </c>
    </row>
    <row r="40" spans="1:20" x14ac:dyDescent="0.3">
      <c r="A40" s="8" t="s">
        <v>38</v>
      </c>
      <c r="B40" s="6">
        <v>5</v>
      </c>
      <c r="C40" s="6">
        <v>3.9E-2</v>
      </c>
      <c r="D40" s="6"/>
      <c r="E40" s="6"/>
      <c r="F40" s="6"/>
      <c r="G40" s="6">
        <v>0.06</v>
      </c>
      <c r="H40" s="6"/>
      <c r="I40" s="6"/>
      <c r="J40" s="6">
        <v>4.1000000000000002E-2</v>
      </c>
      <c r="K40" s="6">
        <v>2.6775E-2</v>
      </c>
      <c r="L40" s="6"/>
      <c r="M40" s="6"/>
      <c r="N40" s="6"/>
      <c r="O40" s="6"/>
      <c r="P40" s="6">
        <v>0.06</v>
      </c>
      <c r="Q40" s="6"/>
      <c r="R40" s="6"/>
      <c r="S40" s="6">
        <v>4.1000000000000002E-2</v>
      </c>
      <c r="T40" s="6">
        <v>2.6775E-2</v>
      </c>
    </row>
    <row r="41" spans="1:20" x14ac:dyDescent="0.3">
      <c r="A41" s="8" t="s">
        <v>39</v>
      </c>
      <c r="B41" s="6">
        <v>6</v>
      </c>
      <c r="C41" s="6">
        <v>3.4000000000000002E-2</v>
      </c>
      <c r="D41" s="6"/>
      <c r="E41" s="6"/>
      <c r="F41" s="6"/>
      <c r="G41" s="6">
        <v>0.04</v>
      </c>
      <c r="H41" s="6"/>
      <c r="I41" s="6"/>
      <c r="J41" s="6">
        <v>4.3999999999999997E-2</v>
      </c>
      <c r="K41" s="6">
        <v>6.4684000000000005E-2</v>
      </c>
      <c r="L41" s="6"/>
      <c r="M41" s="6"/>
      <c r="N41" s="6"/>
      <c r="O41" s="6"/>
      <c r="P41" s="6">
        <v>0.04</v>
      </c>
      <c r="Q41" s="6"/>
      <c r="R41" s="6"/>
      <c r="S41" s="6">
        <v>4.3999999999999997E-2</v>
      </c>
      <c r="T41" s="6">
        <v>6.4684000000000005E-2</v>
      </c>
    </row>
    <row r="42" spans="1:20" x14ac:dyDescent="0.3">
      <c r="A42" s="8" t="s">
        <v>40</v>
      </c>
      <c r="B42" s="6">
        <v>7</v>
      </c>
      <c r="C42" s="6">
        <v>4.8000000000000001E-2</v>
      </c>
      <c r="D42" s="6"/>
      <c r="E42" s="6"/>
      <c r="F42" s="6"/>
      <c r="G42" s="6">
        <v>6.5000000000000002E-2</v>
      </c>
      <c r="H42" s="6"/>
      <c r="I42" s="6"/>
      <c r="J42" s="6">
        <v>0.04</v>
      </c>
      <c r="K42" s="6">
        <v>5.5601999999999999E-2</v>
      </c>
      <c r="L42" s="6"/>
      <c r="M42" s="6"/>
      <c r="N42" s="6"/>
      <c r="O42" s="6"/>
      <c r="P42" s="6">
        <v>6.5000000000000002E-2</v>
      </c>
      <c r="Q42" s="6"/>
      <c r="R42" s="6"/>
      <c r="S42" s="6">
        <v>0.04</v>
      </c>
      <c r="T42" s="6">
        <v>5.5601999999999999E-2</v>
      </c>
    </row>
  </sheetData>
  <mergeCells count="6">
    <mergeCell ref="C1:K1"/>
    <mergeCell ref="C12:K12"/>
    <mergeCell ref="L12:T12"/>
    <mergeCell ref="C23:K23"/>
    <mergeCell ref="C34:K34"/>
    <mergeCell ref="L34:T3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8E05-F84B-4F51-8B29-CBD64181993D}">
  <dimension ref="A1:K20"/>
  <sheetViews>
    <sheetView workbookViewId="0">
      <selection activeCell="L19" sqref="L19"/>
    </sheetView>
  </sheetViews>
  <sheetFormatPr defaultRowHeight="14.4" x14ac:dyDescent="0.3"/>
  <sheetData>
    <row r="1" spans="1:11" x14ac:dyDescent="0.3">
      <c r="A1" s="7" t="s">
        <v>45</v>
      </c>
      <c r="B1" s="7"/>
      <c r="C1" s="9" t="s">
        <v>31</v>
      </c>
      <c r="D1" s="9"/>
      <c r="E1" s="9"/>
      <c r="F1" s="9"/>
      <c r="G1" s="9"/>
      <c r="H1" s="9"/>
      <c r="I1" s="9"/>
      <c r="J1" s="9"/>
      <c r="K1" s="9"/>
    </row>
    <row r="2" spans="1:11" x14ac:dyDescent="0.3">
      <c r="A2" s="8" t="s">
        <v>33</v>
      </c>
      <c r="B2" s="6">
        <v>0.21</v>
      </c>
      <c r="C2" s="6">
        <v>8.0000000000000002E-3</v>
      </c>
      <c r="D2" s="6">
        <v>1.4999999999999999E-2</v>
      </c>
      <c r="E2" s="6">
        <v>1.8800000000000001E-2</v>
      </c>
      <c r="F2" s="6">
        <v>6.0000000000000001E-3</v>
      </c>
      <c r="G2" s="6">
        <v>8.0000000000000002E-3</v>
      </c>
      <c r="H2" s="6">
        <v>2E-3</v>
      </c>
      <c r="I2" s="6">
        <v>2.1399999999999999E-2</v>
      </c>
      <c r="J2" s="6">
        <v>2E-3</v>
      </c>
      <c r="K2" s="6">
        <v>2.3E-2</v>
      </c>
    </row>
    <row r="3" spans="1:11" x14ac:dyDescent="0.3">
      <c r="A3" s="8" t="s">
        <v>34</v>
      </c>
      <c r="B3" s="6">
        <v>1</v>
      </c>
      <c r="C3" s="6">
        <v>1.0999999999999999E-2</v>
      </c>
      <c r="D3" s="6">
        <v>1.2999999999999999E-2</v>
      </c>
      <c r="E3" s="6">
        <v>1.24E-2</v>
      </c>
      <c r="F3" s="6">
        <v>4.0000000000000001E-3</v>
      </c>
      <c r="G3" s="6">
        <v>8.9999999999999993E-3</v>
      </c>
      <c r="H3" s="6">
        <v>4.0000000000000001E-3</v>
      </c>
      <c r="I3" s="6">
        <v>1.5900000000000001E-2</v>
      </c>
      <c r="J3" s="6">
        <v>7.0000000000000001E-3</v>
      </c>
      <c r="K3" s="6">
        <v>3.5000000000000003E-2</v>
      </c>
    </row>
    <row r="4" spans="1:11" x14ac:dyDescent="0.3">
      <c r="A4" s="8" t="s">
        <v>35</v>
      </c>
      <c r="B4" s="6">
        <v>2</v>
      </c>
      <c r="C4" s="6">
        <v>5.0000000000000001E-3</v>
      </c>
      <c r="D4" s="6">
        <v>1.6E-2</v>
      </c>
      <c r="E4" s="6">
        <v>4.4999999999999997E-3</v>
      </c>
      <c r="F4" s="6">
        <v>4.0000000000000001E-3</v>
      </c>
      <c r="G4" s="6">
        <v>1.9E-2</v>
      </c>
      <c r="H4" s="6">
        <v>6.0000000000000001E-3</v>
      </c>
      <c r="I4" s="6">
        <v>1.34E-2</v>
      </c>
      <c r="J4" s="6">
        <v>0.01</v>
      </c>
      <c r="K4" s="6">
        <v>2.1000000000000001E-2</v>
      </c>
    </row>
    <row r="5" spans="1:11" x14ac:dyDescent="0.3">
      <c r="A5" s="8" t="s">
        <v>36</v>
      </c>
      <c r="B5" s="6">
        <v>3</v>
      </c>
      <c r="C5" s="6">
        <v>5.0000000000000001E-3</v>
      </c>
      <c r="D5" s="6">
        <v>1.6E-2</v>
      </c>
      <c r="E5" s="6">
        <v>3.8999999999999998E-3</v>
      </c>
      <c r="F5" s="6">
        <v>3.0000000000000001E-3</v>
      </c>
      <c r="G5" s="6">
        <v>3.2000000000000001E-2</v>
      </c>
      <c r="H5" s="6">
        <v>3.0000000000000001E-3</v>
      </c>
      <c r="I5" s="6">
        <v>9.7000000000000003E-3</v>
      </c>
      <c r="J5" s="6">
        <v>8.9999999999999993E-3</v>
      </c>
      <c r="K5" s="6">
        <v>1.2E-2</v>
      </c>
    </row>
    <row r="6" spans="1:11" x14ac:dyDescent="0.3">
      <c r="A6" s="8" t="s">
        <v>37</v>
      </c>
      <c r="B6" s="6">
        <v>4</v>
      </c>
      <c r="C6" s="6">
        <v>1.4E-2</v>
      </c>
      <c r="D6" s="6">
        <v>2.8000000000000001E-2</v>
      </c>
      <c r="E6" s="6">
        <v>2.8999999999999998E-3</v>
      </c>
      <c r="F6" s="6">
        <v>2E-3</v>
      </c>
      <c r="G6" s="6">
        <v>1.4999999999999999E-2</v>
      </c>
      <c r="H6" s="6">
        <v>2E-3</v>
      </c>
      <c r="I6" s="6">
        <v>6.3E-3</v>
      </c>
      <c r="J6" s="6">
        <v>8.9999999999999993E-3</v>
      </c>
      <c r="K6" s="6">
        <v>1.0999999999999999E-2</v>
      </c>
    </row>
    <row r="7" spans="1:11" x14ac:dyDescent="0.3">
      <c r="A7" s="8" t="s">
        <v>38</v>
      </c>
      <c r="B7" s="6">
        <v>5</v>
      </c>
      <c r="C7" s="6">
        <v>1.0999999999999999E-2</v>
      </c>
      <c r="D7" s="6">
        <v>8.9999999999999993E-3</v>
      </c>
      <c r="E7" s="6">
        <v>4.1999999999999997E-3</v>
      </c>
      <c r="F7" s="6">
        <v>2E-3</v>
      </c>
      <c r="G7" s="6">
        <v>1.0999999999999999E-2</v>
      </c>
      <c r="H7" s="6">
        <v>6.0000000000000001E-3</v>
      </c>
      <c r="I7" s="6">
        <v>5.5999999999999999E-3</v>
      </c>
      <c r="J7" s="6">
        <v>1.4E-2</v>
      </c>
      <c r="K7" s="6">
        <v>1.7000000000000001E-2</v>
      </c>
    </row>
    <row r="8" spans="1:11" x14ac:dyDescent="0.3">
      <c r="A8" s="8" t="s">
        <v>39</v>
      </c>
      <c r="B8" s="6">
        <v>6</v>
      </c>
      <c r="C8" s="6">
        <v>8.9999999999999993E-3</v>
      </c>
      <c r="D8" s="6">
        <v>7.0000000000000001E-3</v>
      </c>
      <c r="E8" s="6">
        <v>6.4999999999999997E-3</v>
      </c>
      <c r="F8" s="6">
        <v>4.0000000000000001E-3</v>
      </c>
      <c r="G8" s="6">
        <v>0.01</v>
      </c>
      <c r="H8" s="6">
        <v>8.0000000000000002E-3</v>
      </c>
      <c r="I8" s="6">
        <v>6.6E-3</v>
      </c>
      <c r="J8" s="6">
        <v>1.7999999999999999E-2</v>
      </c>
      <c r="K8" s="6">
        <v>1.9E-2</v>
      </c>
    </row>
    <row r="9" spans="1:11" x14ac:dyDescent="0.3">
      <c r="A9" s="8" t="s">
        <v>40</v>
      </c>
      <c r="B9" s="6">
        <v>7</v>
      </c>
      <c r="C9" s="6">
        <v>5.0000000000000001E-3</v>
      </c>
      <c r="D9" s="6">
        <v>6.0000000000000001E-3</v>
      </c>
      <c r="E9" s="6">
        <v>1.34E-2</v>
      </c>
      <c r="F9" s="6">
        <v>4.0000000000000001E-3</v>
      </c>
      <c r="G9" s="6">
        <v>8.9999999999999993E-3</v>
      </c>
      <c r="H9" s="6">
        <v>8.0000000000000002E-3</v>
      </c>
      <c r="I9" s="6">
        <v>9.9000000000000008E-3</v>
      </c>
      <c r="J9" s="6">
        <v>1.4999999999999999E-2</v>
      </c>
      <c r="K9" s="6">
        <v>0.03</v>
      </c>
    </row>
    <row r="12" spans="1:11" x14ac:dyDescent="0.3">
      <c r="A12" s="7" t="s">
        <v>46</v>
      </c>
      <c r="B12" s="7"/>
      <c r="C12" s="9" t="s">
        <v>31</v>
      </c>
      <c r="D12" s="9"/>
      <c r="E12" s="9"/>
      <c r="F12" s="9"/>
      <c r="G12" s="9"/>
      <c r="H12" s="9"/>
      <c r="I12" s="9"/>
      <c r="J12" s="9"/>
      <c r="K12" s="9"/>
    </row>
    <row r="13" spans="1:11" x14ac:dyDescent="0.3">
      <c r="A13" s="8" t="s">
        <v>33</v>
      </c>
      <c r="B13" s="6">
        <v>0.21</v>
      </c>
      <c r="C13" s="6">
        <v>7.0000000000000001E-3</v>
      </c>
      <c r="D13" s="6">
        <v>4.7E-2</v>
      </c>
      <c r="E13" s="6">
        <v>1.2E-2</v>
      </c>
      <c r="F13" s="6">
        <v>5.7000000000000002E-2</v>
      </c>
      <c r="G13" s="6">
        <v>3.4000000000000002E-2</v>
      </c>
      <c r="H13" s="6">
        <v>6.0999999999999999E-2</v>
      </c>
      <c r="I13" s="6">
        <v>0.04</v>
      </c>
      <c r="J13" s="6">
        <v>8.6999999999999994E-2</v>
      </c>
      <c r="K13" s="6">
        <v>3.9199999999999999E-2</v>
      </c>
    </row>
    <row r="14" spans="1:11" x14ac:dyDescent="0.3">
      <c r="A14" s="8" t="s">
        <v>34</v>
      </c>
      <c r="B14" s="6">
        <v>1</v>
      </c>
      <c r="C14" s="6">
        <v>8.0000000000000002E-3</v>
      </c>
      <c r="D14" s="6">
        <v>0.02</v>
      </c>
      <c r="E14" s="6">
        <v>8.0000000000000002E-3</v>
      </c>
      <c r="F14" s="6">
        <v>0.02</v>
      </c>
      <c r="G14" s="6">
        <v>2.4E-2</v>
      </c>
      <c r="H14" s="6">
        <v>8.7999999999999995E-2</v>
      </c>
      <c r="I14" s="6">
        <v>4.2999999999999997E-2</v>
      </c>
      <c r="J14" s="6">
        <v>6.5000000000000002E-2</v>
      </c>
      <c r="K14" s="6">
        <v>2.5999999999999999E-2</v>
      </c>
    </row>
    <row r="15" spans="1:11" x14ac:dyDescent="0.3">
      <c r="A15" s="8" t="s">
        <v>35</v>
      </c>
      <c r="B15" s="6">
        <v>2</v>
      </c>
      <c r="C15" s="6">
        <v>2.1000000000000001E-2</v>
      </c>
      <c r="D15" s="6">
        <v>1.0999999999999999E-2</v>
      </c>
      <c r="E15" s="6">
        <v>1.0999999999999999E-2</v>
      </c>
      <c r="F15" s="6">
        <v>7.0000000000000001E-3</v>
      </c>
      <c r="G15" s="6">
        <v>3.1E-2</v>
      </c>
      <c r="H15" s="6">
        <v>4.7E-2</v>
      </c>
      <c r="I15" s="6">
        <v>4.3999999999999997E-2</v>
      </c>
      <c r="J15" s="6">
        <v>3.5000000000000003E-2</v>
      </c>
      <c r="K15" s="6">
        <v>1.2E-2</v>
      </c>
    </row>
    <row r="16" spans="1:11" x14ac:dyDescent="0.3">
      <c r="A16" s="8" t="s">
        <v>36</v>
      </c>
      <c r="B16" s="6">
        <v>3</v>
      </c>
      <c r="C16" s="6">
        <v>1.7999999999999999E-2</v>
      </c>
      <c r="D16" s="6">
        <v>3.0000000000000001E-3</v>
      </c>
      <c r="E16" s="6">
        <v>8.9999999999999993E-3</v>
      </c>
      <c r="F16" s="6">
        <v>2E-3</v>
      </c>
      <c r="G16" s="6">
        <v>0.02</v>
      </c>
      <c r="H16" s="6">
        <v>0.04</v>
      </c>
      <c r="I16" s="6">
        <v>3.2000000000000001E-2</v>
      </c>
      <c r="J16" s="6">
        <v>2.9000000000000001E-2</v>
      </c>
      <c r="K16" s="6">
        <v>1.06E-2</v>
      </c>
    </row>
    <row r="17" spans="1:11" x14ac:dyDescent="0.3">
      <c r="A17" s="8" t="s">
        <v>37</v>
      </c>
      <c r="B17" s="6">
        <v>4</v>
      </c>
      <c r="C17" s="6">
        <v>1.7999999999999999E-2</v>
      </c>
      <c r="D17" s="6">
        <v>6.0000000000000001E-3</v>
      </c>
      <c r="E17" s="6">
        <v>7.0000000000000001E-3</v>
      </c>
      <c r="F17" s="6">
        <v>2E-3</v>
      </c>
      <c r="G17" s="6">
        <v>1.2E-2</v>
      </c>
      <c r="H17" s="6">
        <v>3.4000000000000002E-2</v>
      </c>
      <c r="I17" s="6">
        <v>2.5000000000000001E-2</v>
      </c>
      <c r="J17" s="6">
        <v>1.4999999999999999E-2</v>
      </c>
      <c r="K17" s="6">
        <v>1.2800000000000001E-2</v>
      </c>
    </row>
    <row r="18" spans="1:11" x14ac:dyDescent="0.3">
      <c r="A18" s="8" t="s">
        <v>38</v>
      </c>
      <c r="B18" s="6">
        <v>5</v>
      </c>
      <c r="C18" s="6">
        <v>0.02</v>
      </c>
      <c r="D18" s="6">
        <v>8.0000000000000002E-3</v>
      </c>
      <c r="E18" s="6">
        <v>7.0000000000000001E-3</v>
      </c>
      <c r="F18" s="6">
        <v>7.0000000000000001E-3</v>
      </c>
      <c r="G18" s="6">
        <v>1.6E-2</v>
      </c>
      <c r="H18" s="6">
        <v>3.5999999999999997E-2</v>
      </c>
      <c r="I18" s="6">
        <v>1.0999999999999999E-2</v>
      </c>
      <c r="J18" s="6">
        <v>2.3E-2</v>
      </c>
      <c r="K18" s="6">
        <v>1.61E-2</v>
      </c>
    </row>
    <row r="19" spans="1:11" x14ac:dyDescent="0.3">
      <c r="A19" s="8" t="s">
        <v>39</v>
      </c>
      <c r="B19" s="6">
        <v>6</v>
      </c>
      <c r="C19" s="6">
        <v>2.7E-2</v>
      </c>
      <c r="D19" s="6">
        <v>1.2E-2</v>
      </c>
      <c r="E19" s="6">
        <v>6.0000000000000001E-3</v>
      </c>
      <c r="F19" s="6">
        <v>6.0000000000000001E-3</v>
      </c>
      <c r="G19" s="6">
        <v>0.01</v>
      </c>
      <c r="H19" s="6">
        <v>3.2000000000000001E-2</v>
      </c>
      <c r="I19" s="6">
        <v>0.01</v>
      </c>
      <c r="J19" s="6">
        <v>2.1999999999999999E-2</v>
      </c>
      <c r="K19" s="6">
        <v>2.63E-2</v>
      </c>
    </row>
    <row r="20" spans="1:11" x14ac:dyDescent="0.3">
      <c r="A20" s="8" t="s">
        <v>40</v>
      </c>
      <c r="B20" s="6">
        <v>7</v>
      </c>
      <c r="C20" s="6">
        <v>2.4E-2</v>
      </c>
      <c r="D20" s="6">
        <v>0.01</v>
      </c>
      <c r="E20" s="6">
        <v>7.0000000000000001E-3</v>
      </c>
      <c r="F20" s="6">
        <v>1.6E-2</v>
      </c>
      <c r="G20" s="6">
        <v>6.0000000000000001E-3</v>
      </c>
      <c r="H20" s="6">
        <v>3.3000000000000002E-2</v>
      </c>
      <c r="I20" s="6">
        <v>0.01</v>
      </c>
      <c r="J20" s="6">
        <v>3.2000000000000001E-2</v>
      </c>
      <c r="K20" s="6">
        <v>2.3199999999999998E-2</v>
      </c>
    </row>
  </sheetData>
  <mergeCells count="2">
    <mergeCell ref="C1:K1"/>
    <mergeCell ref="C12:K1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2216-F3CE-4B92-95DE-A5ED150B3FE0}">
  <dimension ref="A1:K21"/>
  <sheetViews>
    <sheetView workbookViewId="0">
      <selection activeCell="O12" sqref="O12"/>
    </sheetView>
  </sheetViews>
  <sheetFormatPr defaultRowHeight="14.4" x14ac:dyDescent="0.3"/>
  <sheetData>
    <row r="1" spans="1:11" x14ac:dyDescent="0.3">
      <c r="A1" s="7" t="s">
        <v>45</v>
      </c>
      <c r="B1" s="7"/>
      <c r="C1" s="9" t="s">
        <v>32</v>
      </c>
      <c r="D1" s="9"/>
      <c r="E1" s="9"/>
      <c r="F1" s="9"/>
      <c r="G1" s="9"/>
      <c r="H1" s="9"/>
      <c r="I1" s="9"/>
      <c r="J1" s="9"/>
      <c r="K1" s="9"/>
    </row>
    <row r="2" spans="1:11" x14ac:dyDescent="0.3">
      <c r="A2" s="8" t="s">
        <v>33</v>
      </c>
      <c r="B2" s="6">
        <v>0.21</v>
      </c>
      <c r="C2" s="6">
        <v>4.0000000000000001E-3</v>
      </c>
      <c r="D2" s="6">
        <v>6.0000000000000001E-3</v>
      </c>
      <c r="E2" s="6">
        <v>1E-3</v>
      </c>
      <c r="F2" s="6">
        <v>1.9099999999999999E-2</v>
      </c>
      <c r="G2" s="6">
        <v>7.0000000000000001E-3</v>
      </c>
      <c r="H2" s="6">
        <v>1E-3</v>
      </c>
      <c r="I2" s="6">
        <v>1.7000000000000001E-2</v>
      </c>
      <c r="J2" s="6"/>
      <c r="K2" s="6"/>
    </row>
    <row r="3" spans="1:11" x14ac:dyDescent="0.3">
      <c r="A3" s="8" t="s">
        <v>34</v>
      </c>
      <c r="B3" s="6">
        <v>1</v>
      </c>
      <c r="C3" s="6">
        <v>8.9999999999999993E-3</v>
      </c>
      <c r="D3" s="6">
        <v>5.0000000000000001E-3</v>
      </c>
      <c r="E3" s="6">
        <v>1E-3</v>
      </c>
      <c r="F3" s="6">
        <v>4.4999999999999997E-3</v>
      </c>
      <c r="G3" s="6">
        <v>5.0000000000000001E-3</v>
      </c>
      <c r="H3" s="6">
        <v>6.0000000000000001E-3</v>
      </c>
      <c r="I3" s="6">
        <v>2.7E-2</v>
      </c>
      <c r="J3" s="6"/>
      <c r="K3" s="6"/>
    </row>
    <row r="4" spans="1:11" x14ac:dyDescent="0.3">
      <c r="A4" s="8" t="s">
        <v>35</v>
      </c>
      <c r="B4" s="6">
        <v>2</v>
      </c>
      <c r="C4" s="6">
        <v>8.9999999999999993E-3</v>
      </c>
      <c r="D4" s="6">
        <v>6.0000000000000001E-3</v>
      </c>
      <c r="E4" s="6">
        <v>2E-3</v>
      </c>
      <c r="F4" s="6">
        <v>3.0999999999999999E-3</v>
      </c>
      <c r="G4" s="6">
        <v>5.0000000000000001E-3</v>
      </c>
      <c r="H4" s="6">
        <v>5.0000000000000001E-3</v>
      </c>
      <c r="I4" s="6">
        <v>2.3E-2</v>
      </c>
      <c r="J4" s="6"/>
      <c r="K4" s="6"/>
    </row>
    <row r="5" spans="1:11" x14ac:dyDescent="0.3">
      <c r="A5" s="8" t="s">
        <v>36</v>
      </c>
      <c r="B5" s="6">
        <v>3</v>
      </c>
      <c r="C5" s="6">
        <v>1.0999999999999999E-2</v>
      </c>
      <c r="D5" s="6">
        <v>8.0000000000000002E-3</v>
      </c>
      <c r="E5" s="6">
        <v>5.0000000000000001E-3</v>
      </c>
      <c r="F5" s="6">
        <v>2.5000000000000001E-3</v>
      </c>
      <c r="G5" s="6">
        <v>6.0000000000000001E-3</v>
      </c>
      <c r="H5" s="6">
        <v>5.0000000000000001E-3</v>
      </c>
      <c r="I5" s="6">
        <v>2.3E-2</v>
      </c>
      <c r="J5" s="6"/>
      <c r="K5" s="6"/>
    </row>
    <row r="6" spans="1:11" x14ac:dyDescent="0.3">
      <c r="A6" s="8" t="s">
        <v>37</v>
      </c>
      <c r="B6" s="6">
        <v>4</v>
      </c>
      <c r="C6" s="6">
        <v>1.4E-2</v>
      </c>
      <c r="D6" s="6">
        <v>1.0999999999999999E-2</v>
      </c>
      <c r="E6" s="6">
        <v>7.0000000000000001E-3</v>
      </c>
      <c r="F6" s="6">
        <v>2.2000000000000001E-3</v>
      </c>
      <c r="G6" s="6">
        <v>8.0000000000000002E-3</v>
      </c>
      <c r="H6" s="6">
        <v>8.0000000000000002E-3</v>
      </c>
      <c r="I6" s="6">
        <v>2.8000000000000001E-2</v>
      </c>
      <c r="J6" s="6"/>
      <c r="K6" s="6"/>
    </row>
    <row r="7" spans="1:11" x14ac:dyDescent="0.3">
      <c r="A7" s="8" t="s">
        <v>38</v>
      </c>
      <c r="B7" s="6">
        <v>5</v>
      </c>
      <c r="C7" s="6">
        <v>1.2E-2</v>
      </c>
      <c r="D7" s="6">
        <v>1.4E-2</v>
      </c>
      <c r="E7" s="6">
        <v>5.0000000000000001E-3</v>
      </c>
      <c r="F7" s="6">
        <v>1.5E-3</v>
      </c>
      <c r="G7" s="6">
        <v>7.0000000000000001E-3</v>
      </c>
      <c r="H7" s="6">
        <v>1.6E-2</v>
      </c>
      <c r="I7" s="6">
        <v>2.3E-2</v>
      </c>
      <c r="J7" s="6"/>
      <c r="K7" s="6"/>
    </row>
    <row r="8" spans="1:11" x14ac:dyDescent="0.3">
      <c r="A8" s="8" t="s">
        <v>39</v>
      </c>
      <c r="B8" s="6">
        <v>6</v>
      </c>
      <c r="C8" s="6">
        <v>1.4999999999999999E-2</v>
      </c>
      <c r="D8" s="6">
        <v>0.01</v>
      </c>
      <c r="E8" s="6">
        <v>6.0000000000000001E-3</v>
      </c>
      <c r="F8" s="6">
        <v>2E-3</v>
      </c>
      <c r="G8" s="6">
        <v>5.0000000000000001E-3</v>
      </c>
      <c r="H8" s="6">
        <v>8.0000000000000002E-3</v>
      </c>
      <c r="I8" s="6"/>
      <c r="J8" s="6"/>
      <c r="K8" s="6"/>
    </row>
    <row r="9" spans="1:11" x14ac:dyDescent="0.3">
      <c r="A9" s="8" t="s">
        <v>40</v>
      </c>
      <c r="B9" s="6">
        <v>7</v>
      </c>
      <c r="C9" s="6">
        <v>2.5999999999999999E-2</v>
      </c>
      <c r="D9" s="6">
        <v>8.9999999999999993E-3</v>
      </c>
      <c r="E9" s="6">
        <v>3.0000000000000001E-3</v>
      </c>
      <c r="F9" s="6">
        <v>4.8999999999999998E-3</v>
      </c>
      <c r="G9" s="6">
        <v>5.0000000000000001E-3</v>
      </c>
      <c r="H9" s="6">
        <v>4.0000000000000001E-3</v>
      </c>
      <c r="I9" s="6"/>
      <c r="J9" s="6"/>
      <c r="K9" s="6"/>
    </row>
    <row r="13" spans="1:11" x14ac:dyDescent="0.3">
      <c r="A13" s="7" t="s">
        <v>46</v>
      </c>
      <c r="B13" s="7"/>
      <c r="C13" s="9" t="s">
        <v>32</v>
      </c>
      <c r="D13" s="9"/>
      <c r="E13" s="9"/>
      <c r="F13" s="9"/>
      <c r="G13" s="9"/>
      <c r="H13" s="9"/>
      <c r="I13" s="9"/>
      <c r="J13" s="9"/>
      <c r="K13" s="9"/>
    </row>
    <row r="14" spans="1:11" x14ac:dyDescent="0.3">
      <c r="A14" s="8" t="s">
        <v>33</v>
      </c>
      <c r="B14" s="6">
        <v>0.21</v>
      </c>
      <c r="C14" s="6">
        <v>1.7299999999999999E-2</v>
      </c>
      <c r="D14" s="6">
        <v>6.5000000000000002E-2</v>
      </c>
      <c r="E14" s="6">
        <v>0.02</v>
      </c>
      <c r="F14" s="6">
        <v>4.7E-2</v>
      </c>
      <c r="G14" s="6">
        <v>5.2999999999999999E-2</v>
      </c>
      <c r="H14" s="6">
        <v>3.0000000000000001E-3</v>
      </c>
      <c r="I14" s="6">
        <v>2.1000000000000001E-2</v>
      </c>
      <c r="J14" s="6"/>
      <c r="K14" s="6"/>
    </row>
    <row r="15" spans="1:11" x14ac:dyDescent="0.3">
      <c r="A15" s="8" t="s">
        <v>34</v>
      </c>
      <c r="B15" s="6">
        <v>1</v>
      </c>
      <c r="C15" s="6">
        <v>1.52E-2</v>
      </c>
      <c r="D15" s="6">
        <v>3.3000000000000002E-2</v>
      </c>
      <c r="E15" s="6">
        <v>1.4E-2</v>
      </c>
      <c r="F15" s="6">
        <v>3.9E-2</v>
      </c>
      <c r="G15" s="6">
        <v>3.2000000000000001E-2</v>
      </c>
      <c r="H15" s="6">
        <v>1.4E-2</v>
      </c>
      <c r="I15" s="6">
        <v>4.1000000000000002E-2</v>
      </c>
      <c r="J15" s="6"/>
      <c r="K15" s="6"/>
    </row>
    <row r="16" spans="1:11" x14ac:dyDescent="0.3">
      <c r="A16" s="8" t="s">
        <v>35</v>
      </c>
      <c r="B16" s="6">
        <v>2</v>
      </c>
      <c r="C16" s="6">
        <v>1.38E-2</v>
      </c>
      <c r="D16" s="6">
        <v>2.5000000000000001E-2</v>
      </c>
      <c r="E16" s="6">
        <v>1.4999999999999999E-2</v>
      </c>
      <c r="F16" s="6">
        <v>3.5999999999999997E-2</v>
      </c>
      <c r="G16" s="6">
        <v>2.7E-2</v>
      </c>
      <c r="H16" s="6">
        <v>5.7000000000000002E-2</v>
      </c>
      <c r="I16" s="6">
        <v>4.2999999999999997E-2</v>
      </c>
      <c r="J16" s="6"/>
      <c r="K16" s="6"/>
    </row>
    <row r="17" spans="1:11" x14ac:dyDescent="0.3">
      <c r="A17" s="8" t="s">
        <v>36</v>
      </c>
      <c r="B17" s="6">
        <v>3</v>
      </c>
      <c r="C17" s="6">
        <v>1.09E-2</v>
      </c>
      <c r="D17" s="6">
        <v>1.4999999999999999E-2</v>
      </c>
      <c r="E17" s="6">
        <v>0.02</v>
      </c>
      <c r="F17" s="6">
        <v>2.1000000000000001E-2</v>
      </c>
      <c r="G17" s="6">
        <v>2.1999999999999999E-2</v>
      </c>
      <c r="H17" s="6">
        <v>2.4E-2</v>
      </c>
      <c r="I17" s="6">
        <v>0.04</v>
      </c>
      <c r="J17" s="6"/>
      <c r="K17" s="6"/>
    </row>
    <row r="18" spans="1:11" x14ac:dyDescent="0.3">
      <c r="A18" s="8" t="s">
        <v>37</v>
      </c>
      <c r="B18" s="6">
        <v>4</v>
      </c>
      <c r="C18" s="6">
        <v>8.3999999999999995E-3</v>
      </c>
      <c r="D18" s="6">
        <v>1.2E-2</v>
      </c>
      <c r="E18" s="6">
        <v>0.02</v>
      </c>
      <c r="F18" s="6">
        <v>2.1999999999999999E-2</v>
      </c>
      <c r="G18" s="6">
        <v>2.7E-2</v>
      </c>
      <c r="H18" s="6">
        <v>3.5000000000000003E-2</v>
      </c>
      <c r="I18" s="6">
        <v>3.1E-2</v>
      </c>
      <c r="J18" s="6"/>
      <c r="K18" s="6"/>
    </row>
    <row r="19" spans="1:11" x14ac:dyDescent="0.3">
      <c r="A19" s="8" t="s">
        <v>38</v>
      </c>
      <c r="B19" s="6">
        <v>5</v>
      </c>
      <c r="C19" s="6">
        <v>8.3999999999999995E-3</v>
      </c>
      <c r="D19" s="6">
        <v>0.01</v>
      </c>
      <c r="E19" s="6">
        <v>2.3E-2</v>
      </c>
      <c r="F19" s="6">
        <v>0.01</v>
      </c>
      <c r="G19" s="6">
        <v>1.9E-2</v>
      </c>
      <c r="H19" s="6">
        <v>5.7000000000000002E-2</v>
      </c>
      <c r="I19" s="6">
        <v>2.8000000000000001E-2</v>
      </c>
      <c r="J19" s="6"/>
      <c r="K19" s="6"/>
    </row>
    <row r="20" spans="1:11" x14ac:dyDescent="0.3">
      <c r="A20" s="8" t="s">
        <v>39</v>
      </c>
      <c r="B20" s="6">
        <v>6</v>
      </c>
      <c r="C20" s="6">
        <v>7.4999999999999997E-3</v>
      </c>
      <c r="D20" s="6">
        <v>1.0999999999999999E-2</v>
      </c>
      <c r="E20" s="6">
        <v>1.6E-2</v>
      </c>
      <c r="F20" s="6">
        <v>8.0000000000000002E-3</v>
      </c>
      <c r="G20" s="6">
        <v>2.3E-2</v>
      </c>
      <c r="H20" s="6">
        <v>6.6000000000000003E-2</v>
      </c>
      <c r="I20" s="6"/>
      <c r="J20" s="6"/>
      <c r="K20" s="6"/>
    </row>
    <row r="21" spans="1:11" x14ac:dyDescent="0.3">
      <c r="A21" s="8" t="s">
        <v>40</v>
      </c>
      <c r="B21" s="6">
        <v>7</v>
      </c>
      <c r="C21" s="6">
        <v>8.9999999999999993E-3</v>
      </c>
      <c r="D21" s="6">
        <v>0.01</v>
      </c>
      <c r="E21" s="6">
        <v>1.4999999999999999E-2</v>
      </c>
      <c r="F21" s="6">
        <v>1.2E-2</v>
      </c>
      <c r="G21" s="6">
        <v>0.02</v>
      </c>
      <c r="H21" s="6">
        <v>6.6000000000000003E-2</v>
      </c>
      <c r="I21" s="6"/>
      <c r="J21" s="6"/>
      <c r="K21" s="6"/>
    </row>
  </sheetData>
  <mergeCells count="2">
    <mergeCell ref="C1:K1"/>
    <mergeCell ref="C13:K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74DA-0CD6-4B15-BA8A-BCC23EE6E8BC}">
  <dimension ref="A1:AB61"/>
  <sheetViews>
    <sheetView workbookViewId="0">
      <selection activeCell="E53" sqref="E53"/>
    </sheetView>
  </sheetViews>
  <sheetFormatPr defaultRowHeight="14.4" x14ac:dyDescent="0.3"/>
  <sheetData>
    <row r="1" spans="1:28" x14ac:dyDescent="0.3">
      <c r="A1" s="7" t="s">
        <v>52</v>
      </c>
      <c r="B1" s="9" t="s">
        <v>49</v>
      </c>
      <c r="C1" s="9"/>
      <c r="D1" s="9"/>
      <c r="E1" s="9"/>
      <c r="F1" s="9"/>
      <c r="G1" s="9"/>
      <c r="H1" s="9"/>
      <c r="I1" s="9"/>
      <c r="J1" s="9"/>
      <c r="K1" s="9" t="s">
        <v>50</v>
      </c>
      <c r="L1" s="9"/>
      <c r="M1" s="9"/>
      <c r="N1" s="9"/>
      <c r="O1" s="9"/>
      <c r="P1" s="9"/>
      <c r="Q1" s="9"/>
      <c r="R1" s="9"/>
      <c r="S1" s="9"/>
      <c r="T1" s="9" t="s">
        <v>51</v>
      </c>
      <c r="U1" s="9"/>
      <c r="V1" s="9"/>
      <c r="W1" s="9"/>
      <c r="X1" s="9"/>
      <c r="Y1" s="9"/>
      <c r="Z1" s="9"/>
      <c r="AA1" s="9"/>
      <c r="AB1" s="9"/>
    </row>
    <row r="2" spans="1:28" x14ac:dyDescent="0.3">
      <c r="A2" s="8">
        <v>1</v>
      </c>
      <c r="B2" s="6">
        <v>46</v>
      </c>
      <c r="C2" s="6">
        <v>68</v>
      </c>
      <c r="D2" s="6">
        <v>107</v>
      </c>
      <c r="E2" s="6">
        <v>67</v>
      </c>
      <c r="F2" s="6">
        <v>60</v>
      </c>
      <c r="G2" s="6">
        <v>91</v>
      </c>
      <c r="H2" s="6">
        <v>120</v>
      </c>
      <c r="I2" s="6">
        <v>79</v>
      </c>
      <c r="J2" s="6">
        <v>87</v>
      </c>
      <c r="K2" s="6">
        <v>64</v>
      </c>
      <c r="L2" s="6">
        <v>83</v>
      </c>
      <c r="M2" s="6">
        <v>51</v>
      </c>
      <c r="N2" s="6">
        <v>94</v>
      </c>
      <c r="O2" s="6">
        <v>92</v>
      </c>
      <c r="P2" s="6">
        <v>56</v>
      </c>
      <c r="Q2" s="6">
        <v>114</v>
      </c>
      <c r="R2" s="6">
        <v>86</v>
      </c>
      <c r="S2" s="6">
        <v>78</v>
      </c>
      <c r="T2" s="6">
        <v>75</v>
      </c>
      <c r="U2" s="6">
        <v>46</v>
      </c>
      <c r="V2" s="6">
        <v>68</v>
      </c>
      <c r="W2" s="6">
        <v>58</v>
      </c>
      <c r="X2" s="6">
        <v>90</v>
      </c>
      <c r="Y2" s="6">
        <v>78</v>
      </c>
      <c r="Z2" s="6">
        <v>59</v>
      </c>
      <c r="AA2" s="6"/>
      <c r="AB2" s="6"/>
    </row>
    <row r="3" spans="1:28" x14ac:dyDescent="0.3">
      <c r="A3" s="8">
        <v>2</v>
      </c>
      <c r="B3" s="6">
        <v>44</v>
      </c>
      <c r="C3" s="6">
        <v>76</v>
      </c>
      <c r="D3" s="6">
        <v>130</v>
      </c>
      <c r="E3" s="6">
        <v>82</v>
      </c>
      <c r="F3" s="6">
        <v>68</v>
      </c>
      <c r="G3" s="6">
        <v>81</v>
      </c>
      <c r="H3" s="6">
        <v>187</v>
      </c>
      <c r="I3" s="6"/>
      <c r="J3" s="6">
        <v>112</v>
      </c>
      <c r="K3" s="6">
        <v>77</v>
      </c>
      <c r="L3" s="6">
        <v>82</v>
      </c>
      <c r="M3" s="6">
        <v>57</v>
      </c>
      <c r="N3" s="6">
        <v>95</v>
      </c>
      <c r="O3" s="6">
        <v>81</v>
      </c>
      <c r="P3" s="6">
        <v>58</v>
      </c>
      <c r="Q3" s="6">
        <v>142</v>
      </c>
      <c r="R3" s="6">
        <v>60</v>
      </c>
      <c r="S3" s="6">
        <v>65</v>
      </c>
      <c r="T3" s="6">
        <v>68</v>
      </c>
      <c r="U3" s="6">
        <v>50</v>
      </c>
      <c r="V3" s="6">
        <v>69</v>
      </c>
      <c r="W3" s="6">
        <v>49</v>
      </c>
      <c r="X3" s="6">
        <v>87</v>
      </c>
      <c r="Y3" s="6"/>
      <c r="Z3" s="6"/>
      <c r="AA3" s="6"/>
      <c r="AB3" s="6"/>
    </row>
    <row r="4" spans="1:28" x14ac:dyDescent="0.3">
      <c r="A4" s="8">
        <v>3</v>
      </c>
      <c r="B4" s="6">
        <v>56</v>
      </c>
      <c r="C4" s="6">
        <v>61</v>
      </c>
      <c r="D4" s="6">
        <v>127</v>
      </c>
      <c r="E4" s="6">
        <v>89</v>
      </c>
      <c r="F4" s="6">
        <v>83</v>
      </c>
      <c r="G4" s="6">
        <v>87</v>
      </c>
      <c r="H4" s="6">
        <v>284</v>
      </c>
      <c r="I4" s="6">
        <v>105</v>
      </c>
      <c r="J4" s="6"/>
      <c r="K4" s="6">
        <v>59</v>
      </c>
      <c r="L4" s="6">
        <v>65</v>
      </c>
      <c r="M4" s="6">
        <v>56</v>
      </c>
      <c r="N4" s="6">
        <v>105</v>
      </c>
      <c r="O4" s="6">
        <v>85</v>
      </c>
      <c r="P4" s="6"/>
      <c r="Q4" s="6">
        <v>97</v>
      </c>
      <c r="R4" s="6">
        <v>72</v>
      </c>
      <c r="S4" s="6">
        <v>52</v>
      </c>
      <c r="T4" s="6">
        <v>71</v>
      </c>
      <c r="U4" s="6">
        <v>47</v>
      </c>
      <c r="V4" s="6">
        <v>79</v>
      </c>
      <c r="W4" s="6">
        <v>53</v>
      </c>
      <c r="X4" s="6">
        <v>76</v>
      </c>
      <c r="Y4" s="6">
        <v>85</v>
      </c>
      <c r="Z4" s="6">
        <v>65</v>
      </c>
      <c r="AA4" s="6"/>
      <c r="AB4" s="6"/>
    </row>
    <row r="5" spans="1:28" x14ac:dyDescent="0.3">
      <c r="A5" s="8">
        <v>4</v>
      </c>
      <c r="B5" s="6">
        <v>57</v>
      </c>
      <c r="C5" s="6">
        <v>56</v>
      </c>
      <c r="D5" s="6">
        <v>118</v>
      </c>
      <c r="E5" s="6"/>
      <c r="F5" s="6">
        <v>77</v>
      </c>
      <c r="G5" s="6">
        <v>75</v>
      </c>
      <c r="H5" s="6">
        <v>194</v>
      </c>
      <c r="I5" s="6"/>
      <c r="J5" s="6"/>
      <c r="K5" s="6">
        <v>57</v>
      </c>
      <c r="L5" s="6">
        <v>59</v>
      </c>
      <c r="M5" s="6">
        <v>49</v>
      </c>
      <c r="N5" s="6">
        <v>119</v>
      </c>
      <c r="O5" s="6">
        <v>76</v>
      </c>
      <c r="P5" s="6"/>
      <c r="Q5" s="6">
        <v>83</v>
      </c>
      <c r="R5" s="6">
        <v>57</v>
      </c>
      <c r="S5" s="6">
        <v>49</v>
      </c>
      <c r="T5" s="6">
        <v>62</v>
      </c>
      <c r="U5" s="6">
        <v>44</v>
      </c>
      <c r="V5" s="6"/>
      <c r="W5" s="6">
        <v>47</v>
      </c>
      <c r="X5" s="6">
        <v>59</v>
      </c>
      <c r="Y5" s="6"/>
      <c r="Z5" s="6">
        <v>55</v>
      </c>
      <c r="AA5" s="6"/>
      <c r="AB5" s="6"/>
    </row>
    <row r="6" spans="1:28" x14ac:dyDescent="0.3">
      <c r="A6" s="8">
        <v>5</v>
      </c>
      <c r="B6" s="6">
        <v>48</v>
      </c>
      <c r="C6" s="6">
        <v>46</v>
      </c>
      <c r="D6" s="6">
        <v>125</v>
      </c>
      <c r="E6" s="6">
        <v>72</v>
      </c>
      <c r="F6" s="6">
        <v>75</v>
      </c>
      <c r="G6" s="6">
        <v>66</v>
      </c>
      <c r="H6" s="6">
        <v>262</v>
      </c>
      <c r="I6" s="6"/>
      <c r="J6" s="6"/>
      <c r="K6" s="6">
        <v>50</v>
      </c>
      <c r="L6" s="6">
        <v>43</v>
      </c>
      <c r="M6" s="6">
        <v>49</v>
      </c>
      <c r="N6" s="6">
        <v>96</v>
      </c>
      <c r="O6" s="6">
        <v>75</v>
      </c>
      <c r="P6" s="6"/>
      <c r="Q6" s="6">
        <v>69</v>
      </c>
      <c r="R6" s="6">
        <v>50</v>
      </c>
      <c r="S6" s="6">
        <v>56</v>
      </c>
      <c r="T6" s="6">
        <v>60</v>
      </c>
      <c r="U6" s="6">
        <v>49</v>
      </c>
      <c r="V6" s="6"/>
      <c r="W6" s="6"/>
      <c r="X6" s="6">
        <v>45</v>
      </c>
      <c r="Y6" s="6"/>
      <c r="Z6" s="6">
        <v>46</v>
      </c>
      <c r="AA6" s="6"/>
      <c r="AB6" s="6"/>
    </row>
    <row r="7" spans="1:28" x14ac:dyDescent="0.3">
      <c r="A7" s="8">
        <v>6</v>
      </c>
      <c r="B7" s="6">
        <v>38</v>
      </c>
      <c r="C7" s="6">
        <v>49</v>
      </c>
      <c r="D7" s="6">
        <v>124</v>
      </c>
      <c r="E7" s="6"/>
      <c r="F7" s="6">
        <v>75</v>
      </c>
      <c r="G7" s="6">
        <v>62</v>
      </c>
      <c r="H7" s="6">
        <v>191</v>
      </c>
      <c r="I7" s="6"/>
      <c r="J7" s="6"/>
      <c r="K7" s="6">
        <v>48</v>
      </c>
      <c r="L7" s="6"/>
      <c r="M7" s="6">
        <v>44</v>
      </c>
      <c r="N7" s="6">
        <v>78</v>
      </c>
      <c r="O7" s="6">
        <v>78</v>
      </c>
      <c r="P7" s="6"/>
      <c r="Q7" s="6">
        <v>59</v>
      </c>
      <c r="R7" s="6">
        <v>55</v>
      </c>
      <c r="S7" s="6">
        <v>45</v>
      </c>
      <c r="T7" s="6">
        <v>49</v>
      </c>
      <c r="U7" s="6">
        <v>48</v>
      </c>
      <c r="V7" s="6"/>
      <c r="W7" s="6">
        <v>45</v>
      </c>
      <c r="X7" s="6">
        <v>57</v>
      </c>
      <c r="Y7" s="6"/>
      <c r="Z7" s="6"/>
      <c r="AA7" s="6"/>
      <c r="AB7" s="6"/>
    </row>
    <row r="8" spans="1:28" x14ac:dyDescent="0.3">
      <c r="A8" s="8">
        <v>7</v>
      </c>
      <c r="B8" s="6">
        <v>42</v>
      </c>
      <c r="C8" s="6">
        <v>41</v>
      </c>
      <c r="D8" s="6">
        <v>132</v>
      </c>
      <c r="E8" s="6"/>
      <c r="F8" s="6"/>
      <c r="G8" s="6">
        <v>61</v>
      </c>
      <c r="H8" s="6">
        <v>209</v>
      </c>
      <c r="I8" s="6"/>
      <c r="J8" s="6"/>
      <c r="K8" s="6">
        <v>57</v>
      </c>
      <c r="L8" s="6">
        <v>59</v>
      </c>
      <c r="M8" s="6">
        <v>38</v>
      </c>
      <c r="N8" s="6">
        <v>82</v>
      </c>
      <c r="O8" s="6">
        <v>60</v>
      </c>
      <c r="P8" s="6"/>
      <c r="Q8" s="6">
        <v>56</v>
      </c>
      <c r="R8" s="6">
        <v>58</v>
      </c>
      <c r="S8" s="6">
        <v>49</v>
      </c>
      <c r="T8" s="6"/>
      <c r="U8" s="6">
        <v>50</v>
      </c>
      <c r="V8" s="6">
        <v>70</v>
      </c>
      <c r="W8" s="6">
        <v>47</v>
      </c>
      <c r="X8" s="6">
        <v>63</v>
      </c>
      <c r="Y8" s="6"/>
      <c r="Z8" s="6">
        <v>47</v>
      </c>
      <c r="AA8" s="6"/>
      <c r="AB8" s="6"/>
    </row>
    <row r="12" spans="1:28" x14ac:dyDescent="0.3">
      <c r="A12" s="7" t="s">
        <v>53</v>
      </c>
      <c r="B12" s="9" t="s">
        <v>49</v>
      </c>
      <c r="C12" s="9"/>
      <c r="D12" s="9"/>
      <c r="E12" s="9"/>
      <c r="F12" s="9"/>
      <c r="G12" s="9"/>
      <c r="H12" s="9"/>
      <c r="I12" s="9"/>
      <c r="J12" s="9"/>
      <c r="K12" s="9" t="s">
        <v>50</v>
      </c>
      <c r="L12" s="9"/>
      <c r="M12" s="9"/>
      <c r="N12" s="9"/>
      <c r="O12" s="9"/>
      <c r="P12" s="9"/>
      <c r="Q12" s="9"/>
      <c r="R12" s="9"/>
      <c r="S12" s="9"/>
      <c r="T12" s="9" t="s">
        <v>51</v>
      </c>
      <c r="U12" s="9"/>
      <c r="V12" s="9"/>
      <c r="W12" s="9"/>
      <c r="X12" s="9"/>
      <c r="Y12" s="9"/>
      <c r="Z12" s="9"/>
      <c r="AA12" s="9"/>
      <c r="AB12" s="9"/>
    </row>
    <row r="13" spans="1:28" x14ac:dyDescent="0.3">
      <c r="A13" s="8">
        <v>1</v>
      </c>
      <c r="B13" s="6">
        <v>2.6</v>
      </c>
      <c r="C13" s="6">
        <v>4</v>
      </c>
      <c r="D13" s="6">
        <v>5</v>
      </c>
      <c r="E13" s="6">
        <v>5.0999999999999996</v>
      </c>
      <c r="F13" s="6">
        <v>2.6</v>
      </c>
      <c r="G13" s="6">
        <v>4.5</v>
      </c>
      <c r="H13" s="6">
        <v>6.9</v>
      </c>
      <c r="I13" s="6">
        <v>4.9000000000000004</v>
      </c>
      <c r="J13" s="6">
        <v>4.3</v>
      </c>
      <c r="K13" s="6">
        <v>6</v>
      </c>
      <c r="L13" s="6">
        <v>4.7</v>
      </c>
      <c r="M13" s="6">
        <v>2.2000000000000002</v>
      </c>
      <c r="N13" s="6">
        <v>3.6</v>
      </c>
      <c r="O13" s="6">
        <v>5.6</v>
      </c>
      <c r="P13" s="6">
        <v>2.7</v>
      </c>
      <c r="Q13" s="6">
        <v>6.3</v>
      </c>
      <c r="R13" s="6">
        <v>8.9</v>
      </c>
      <c r="S13" s="6">
        <v>4.7</v>
      </c>
      <c r="T13" s="6">
        <v>3.6</v>
      </c>
      <c r="U13" s="6">
        <v>5.0999999999999996</v>
      </c>
      <c r="V13" s="6">
        <v>4.2</v>
      </c>
      <c r="W13" s="6">
        <v>2.2000000000000002</v>
      </c>
      <c r="X13" s="6">
        <v>5.6</v>
      </c>
      <c r="Y13" s="6">
        <v>5.2</v>
      </c>
      <c r="Z13" s="6">
        <v>6.6</v>
      </c>
      <c r="AA13" s="6"/>
      <c r="AB13" s="6"/>
    </row>
    <row r="14" spans="1:28" x14ac:dyDescent="0.3">
      <c r="A14" s="8">
        <v>2</v>
      </c>
      <c r="B14" s="6">
        <v>2.4</v>
      </c>
      <c r="C14" s="6">
        <v>4.5</v>
      </c>
      <c r="D14" s="6">
        <v>4.8</v>
      </c>
      <c r="E14" s="6">
        <v>6.5</v>
      </c>
      <c r="F14" s="6">
        <v>2.8</v>
      </c>
      <c r="G14" s="6">
        <v>3.4</v>
      </c>
      <c r="H14" s="6">
        <v>10.9</v>
      </c>
      <c r="I14" s="6"/>
      <c r="J14" s="6">
        <v>5.8</v>
      </c>
      <c r="K14" s="6">
        <v>8.1</v>
      </c>
      <c r="L14" s="6">
        <v>3.3</v>
      </c>
      <c r="M14" s="6">
        <v>1.7</v>
      </c>
      <c r="N14" s="6">
        <v>4.3</v>
      </c>
      <c r="O14" s="6">
        <v>4.4000000000000004</v>
      </c>
      <c r="P14" s="6">
        <v>1.9</v>
      </c>
      <c r="Q14" s="6">
        <v>11.4</v>
      </c>
      <c r="R14" s="6">
        <v>8.1</v>
      </c>
      <c r="S14" s="6">
        <v>3.6</v>
      </c>
      <c r="T14" s="6">
        <v>2.5</v>
      </c>
      <c r="U14" s="6">
        <v>4.5</v>
      </c>
      <c r="V14" s="6">
        <v>4.0999999999999996</v>
      </c>
      <c r="W14" s="6">
        <v>1.9</v>
      </c>
      <c r="X14" s="6">
        <v>4.4000000000000004</v>
      </c>
      <c r="Y14" s="6"/>
      <c r="Z14" s="6"/>
      <c r="AA14" s="6"/>
      <c r="AB14" s="6"/>
    </row>
    <row r="15" spans="1:28" x14ac:dyDescent="0.3">
      <c r="A15" s="8">
        <v>3</v>
      </c>
      <c r="B15" s="6">
        <v>2.5</v>
      </c>
      <c r="C15" s="6">
        <v>2.9</v>
      </c>
      <c r="D15" s="6">
        <v>4.9000000000000004</v>
      </c>
      <c r="E15" s="6">
        <v>8</v>
      </c>
      <c r="F15" s="6">
        <v>3.4</v>
      </c>
      <c r="G15" s="6">
        <v>3.2</v>
      </c>
      <c r="H15" s="6">
        <v>14.2</v>
      </c>
      <c r="I15" s="6">
        <v>7.7</v>
      </c>
      <c r="J15" s="6"/>
      <c r="K15" s="6">
        <v>8.9</v>
      </c>
      <c r="L15" s="6">
        <v>3.9</v>
      </c>
      <c r="M15" s="6">
        <v>2.2000000000000002</v>
      </c>
      <c r="N15" s="6">
        <v>4</v>
      </c>
      <c r="O15" s="6">
        <v>4</v>
      </c>
      <c r="P15" s="6"/>
      <c r="Q15" s="6">
        <v>8.1</v>
      </c>
      <c r="R15" s="6">
        <v>7.8</v>
      </c>
      <c r="S15" s="6">
        <v>2.9</v>
      </c>
      <c r="T15" s="6">
        <v>2.8</v>
      </c>
      <c r="U15" s="6">
        <v>4.3</v>
      </c>
      <c r="V15" s="6">
        <v>4.4000000000000004</v>
      </c>
      <c r="W15" s="6">
        <v>2.5</v>
      </c>
      <c r="X15" s="6">
        <v>3.7</v>
      </c>
      <c r="Y15" s="6">
        <v>5.5</v>
      </c>
      <c r="Z15" s="6">
        <v>3.8</v>
      </c>
      <c r="AA15" s="6"/>
      <c r="AB15" s="6"/>
    </row>
    <row r="16" spans="1:28" x14ac:dyDescent="0.3">
      <c r="A16" s="8">
        <v>4</v>
      </c>
      <c r="B16" s="6">
        <v>2.6</v>
      </c>
      <c r="C16" s="6">
        <v>5.2</v>
      </c>
      <c r="D16" s="6">
        <v>4.2</v>
      </c>
      <c r="E16" s="6"/>
      <c r="F16" s="6">
        <v>3.9</v>
      </c>
      <c r="G16" s="6">
        <v>4.3</v>
      </c>
      <c r="H16" s="6">
        <v>9.1</v>
      </c>
      <c r="I16" s="6"/>
      <c r="J16" s="6"/>
      <c r="K16" s="6">
        <v>10.5</v>
      </c>
      <c r="L16" s="6">
        <v>3</v>
      </c>
      <c r="M16" s="6">
        <v>3.2</v>
      </c>
      <c r="N16" s="6">
        <v>2.6</v>
      </c>
      <c r="O16" s="6">
        <v>3.8</v>
      </c>
      <c r="P16" s="6"/>
      <c r="Q16" s="6">
        <v>6.2</v>
      </c>
      <c r="R16" s="6">
        <v>7.2</v>
      </c>
      <c r="S16" s="6">
        <v>3.6</v>
      </c>
      <c r="T16" s="6">
        <v>2.6</v>
      </c>
      <c r="U16" s="6">
        <v>3.8</v>
      </c>
      <c r="V16" s="6"/>
      <c r="W16" s="6">
        <v>3.1</v>
      </c>
      <c r="X16" s="6">
        <v>4.2</v>
      </c>
      <c r="Y16" s="6"/>
      <c r="Z16" s="6">
        <v>2.2999999999999998</v>
      </c>
      <c r="AA16" s="6"/>
      <c r="AB16" s="6"/>
    </row>
    <row r="17" spans="1:28" x14ac:dyDescent="0.3">
      <c r="A17" s="8">
        <v>5</v>
      </c>
      <c r="B17" s="6">
        <v>3.7</v>
      </c>
      <c r="C17" s="6">
        <v>5.9</v>
      </c>
      <c r="D17" s="6">
        <v>4.9000000000000004</v>
      </c>
      <c r="E17" s="6">
        <v>7.8</v>
      </c>
      <c r="F17" s="6">
        <v>4.5999999999999996</v>
      </c>
      <c r="G17" s="6">
        <v>6.3</v>
      </c>
      <c r="H17" s="6">
        <v>11.8</v>
      </c>
      <c r="I17" s="6"/>
      <c r="J17" s="6"/>
      <c r="K17" s="6">
        <v>7.5</v>
      </c>
      <c r="L17" s="6">
        <v>4.4000000000000004</v>
      </c>
      <c r="M17" s="6">
        <v>3.6</v>
      </c>
      <c r="N17" s="6">
        <v>3.5</v>
      </c>
      <c r="O17" s="6">
        <v>4</v>
      </c>
      <c r="P17" s="6"/>
      <c r="Q17" s="6">
        <v>7.3</v>
      </c>
      <c r="R17" s="6">
        <v>9.1999999999999993</v>
      </c>
      <c r="S17" s="6">
        <v>4.5999999999999996</v>
      </c>
      <c r="T17" s="6">
        <v>2.7</v>
      </c>
      <c r="U17" s="6">
        <v>4.8</v>
      </c>
      <c r="V17" s="6"/>
      <c r="W17" s="6"/>
      <c r="X17" s="6">
        <v>5.0999999999999996</v>
      </c>
      <c r="Y17" s="6"/>
      <c r="Z17" s="6">
        <v>2.5</v>
      </c>
      <c r="AA17" s="6"/>
      <c r="AB17" s="6"/>
    </row>
    <row r="18" spans="1:28" x14ac:dyDescent="0.3">
      <c r="A18" s="8">
        <v>6</v>
      </c>
      <c r="B18" s="6">
        <v>4.0999999999999996</v>
      </c>
      <c r="C18" s="6">
        <v>5.7</v>
      </c>
      <c r="D18" s="6">
        <v>6.7</v>
      </c>
      <c r="E18" s="6"/>
      <c r="F18" s="6">
        <v>3</v>
      </c>
      <c r="G18" s="6">
        <v>7.3</v>
      </c>
      <c r="H18" s="6">
        <v>10</v>
      </c>
      <c r="I18" s="6"/>
      <c r="J18" s="6"/>
      <c r="K18" s="6">
        <v>5.8</v>
      </c>
      <c r="L18" s="6"/>
      <c r="M18" s="6">
        <v>2.9</v>
      </c>
      <c r="N18" s="6">
        <v>4</v>
      </c>
      <c r="O18" s="6">
        <v>4.2</v>
      </c>
      <c r="P18" s="6"/>
      <c r="Q18" s="6">
        <v>4.3</v>
      </c>
      <c r="R18" s="6">
        <v>9.4</v>
      </c>
      <c r="S18" s="6">
        <v>4.3</v>
      </c>
      <c r="T18" s="6">
        <v>4.9000000000000004</v>
      </c>
      <c r="U18" s="6">
        <v>4.4000000000000004</v>
      </c>
      <c r="V18" s="6"/>
      <c r="W18" s="6">
        <v>1.6</v>
      </c>
      <c r="X18" s="6">
        <v>7.5</v>
      </c>
      <c r="Y18" s="6"/>
      <c r="Z18" s="6"/>
      <c r="AA18" s="6"/>
      <c r="AB18" s="6"/>
    </row>
    <row r="19" spans="1:28" x14ac:dyDescent="0.3">
      <c r="A19" s="8">
        <v>7</v>
      </c>
      <c r="B19" s="6">
        <v>6.4</v>
      </c>
      <c r="C19" s="6">
        <v>6.5</v>
      </c>
      <c r="D19" s="6">
        <v>7.9</v>
      </c>
      <c r="E19" s="6"/>
      <c r="F19" s="6"/>
      <c r="G19" s="6">
        <v>6.1</v>
      </c>
      <c r="H19" s="6">
        <v>17.5</v>
      </c>
      <c r="I19" s="6"/>
      <c r="J19" s="6"/>
      <c r="K19" s="6">
        <v>7.1</v>
      </c>
      <c r="L19" s="6">
        <v>4.3</v>
      </c>
      <c r="M19" s="6">
        <v>2.2000000000000002</v>
      </c>
      <c r="N19" s="6">
        <v>4.7</v>
      </c>
      <c r="O19" s="6">
        <v>4.7</v>
      </c>
      <c r="P19" s="6"/>
      <c r="Q19" s="6">
        <v>5.5</v>
      </c>
      <c r="R19" s="6">
        <v>9.1999999999999993</v>
      </c>
      <c r="S19" s="6">
        <v>4.2</v>
      </c>
      <c r="T19" s="6"/>
      <c r="U19" s="6">
        <v>4.4000000000000004</v>
      </c>
      <c r="V19" s="6">
        <v>4.3</v>
      </c>
      <c r="W19" s="6">
        <v>5.0999999999999996</v>
      </c>
      <c r="X19" s="6">
        <v>8</v>
      </c>
      <c r="Y19" s="6"/>
      <c r="Z19" s="6">
        <v>4.0999999999999996</v>
      </c>
      <c r="AA19" s="6"/>
      <c r="AB19" s="6"/>
    </row>
    <row r="22" spans="1:28" x14ac:dyDescent="0.3">
      <c r="A22" s="7" t="s">
        <v>54</v>
      </c>
      <c r="B22" s="9" t="s">
        <v>49</v>
      </c>
      <c r="C22" s="9"/>
      <c r="D22" s="9"/>
      <c r="E22" s="9"/>
      <c r="F22" s="9"/>
      <c r="G22" s="9"/>
      <c r="H22" s="9"/>
      <c r="I22" s="9"/>
      <c r="J22" s="9"/>
      <c r="K22" s="9" t="s">
        <v>50</v>
      </c>
      <c r="L22" s="9"/>
      <c r="M22" s="9"/>
      <c r="N22" s="9"/>
      <c r="O22" s="9"/>
      <c r="P22" s="9"/>
      <c r="Q22" s="9"/>
      <c r="R22" s="9"/>
      <c r="S22" s="9"/>
      <c r="T22" s="9" t="s">
        <v>51</v>
      </c>
      <c r="U22" s="9"/>
      <c r="V22" s="9"/>
      <c r="W22" s="9"/>
      <c r="X22" s="9"/>
      <c r="Y22" s="9"/>
      <c r="Z22" s="9"/>
      <c r="AA22" s="9"/>
      <c r="AB22" s="9"/>
    </row>
    <row r="23" spans="1:28" x14ac:dyDescent="0.3">
      <c r="A23" s="8">
        <v>1</v>
      </c>
      <c r="B23" s="6">
        <v>104</v>
      </c>
      <c r="C23" s="6">
        <v>105</v>
      </c>
      <c r="D23" s="6">
        <v>112</v>
      </c>
      <c r="E23" s="6">
        <v>102</v>
      </c>
      <c r="F23" s="6">
        <v>111</v>
      </c>
      <c r="G23" s="6">
        <v>118</v>
      </c>
      <c r="H23" s="6">
        <v>113</v>
      </c>
      <c r="I23" s="6">
        <v>118</v>
      </c>
      <c r="J23" s="6">
        <v>117</v>
      </c>
      <c r="K23" s="6">
        <v>116</v>
      </c>
      <c r="L23" s="6">
        <v>104</v>
      </c>
      <c r="M23" s="6">
        <v>111</v>
      </c>
      <c r="N23" s="6">
        <v>104</v>
      </c>
      <c r="O23" s="6">
        <v>101</v>
      </c>
      <c r="P23" s="6">
        <v>93</v>
      </c>
      <c r="Q23" s="6">
        <v>117</v>
      </c>
      <c r="R23" s="6">
        <v>98</v>
      </c>
      <c r="S23" s="6">
        <v>117</v>
      </c>
      <c r="T23" s="6">
        <v>107</v>
      </c>
      <c r="U23" s="6">
        <v>105</v>
      </c>
      <c r="V23" s="6">
        <v>114</v>
      </c>
      <c r="W23" s="6">
        <v>97</v>
      </c>
      <c r="X23" s="6">
        <v>104</v>
      </c>
      <c r="Y23" s="6">
        <v>104</v>
      </c>
      <c r="Z23" s="6">
        <v>123</v>
      </c>
      <c r="AA23" s="6"/>
      <c r="AB23" s="6"/>
    </row>
    <row r="24" spans="1:28" x14ac:dyDescent="0.3">
      <c r="A24" s="8">
        <v>2</v>
      </c>
      <c r="B24" s="6">
        <v>114</v>
      </c>
      <c r="C24" s="6">
        <v>105</v>
      </c>
      <c r="D24" s="6">
        <v>116</v>
      </c>
      <c r="E24" s="6">
        <v>105</v>
      </c>
      <c r="F24" s="6">
        <v>115</v>
      </c>
      <c r="G24" s="6">
        <v>124</v>
      </c>
      <c r="H24" s="6">
        <v>112</v>
      </c>
      <c r="I24" s="6"/>
      <c r="J24" s="6">
        <v>119</v>
      </c>
      <c r="K24" s="6">
        <v>110</v>
      </c>
      <c r="L24" s="6">
        <v>109</v>
      </c>
      <c r="M24" s="6">
        <v>117</v>
      </c>
      <c r="N24" s="6">
        <v>115</v>
      </c>
      <c r="O24" s="6">
        <v>104</v>
      </c>
      <c r="P24" s="6">
        <v>96</v>
      </c>
      <c r="Q24" s="6">
        <v>120</v>
      </c>
      <c r="R24" s="6">
        <v>103</v>
      </c>
      <c r="S24" s="6">
        <v>117</v>
      </c>
      <c r="T24" s="6">
        <v>117</v>
      </c>
      <c r="U24" s="6">
        <v>106</v>
      </c>
      <c r="V24" s="6">
        <v>110</v>
      </c>
      <c r="W24" s="6">
        <v>108</v>
      </c>
      <c r="X24" s="6">
        <v>109</v>
      </c>
      <c r="Y24" s="6"/>
      <c r="Z24" s="6"/>
      <c r="AA24" s="6"/>
      <c r="AB24" s="6"/>
    </row>
    <row r="25" spans="1:28" x14ac:dyDescent="0.3">
      <c r="A25" s="8">
        <v>3</v>
      </c>
      <c r="B25" s="6">
        <v>105</v>
      </c>
      <c r="C25" s="6">
        <v>110</v>
      </c>
      <c r="D25" s="6">
        <v>117</v>
      </c>
      <c r="E25" s="6">
        <v>106</v>
      </c>
      <c r="F25" s="6">
        <v>117</v>
      </c>
      <c r="G25" s="6">
        <v>118</v>
      </c>
      <c r="H25" s="6">
        <v>109</v>
      </c>
      <c r="I25" s="6">
        <v>115</v>
      </c>
      <c r="J25" s="6"/>
      <c r="K25" s="6">
        <v>105</v>
      </c>
      <c r="L25" s="6">
        <v>110</v>
      </c>
      <c r="M25" s="6">
        <v>112</v>
      </c>
      <c r="N25" s="6">
        <v>121</v>
      </c>
      <c r="O25" s="6">
        <v>110</v>
      </c>
      <c r="P25" s="6"/>
      <c r="Q25" s="6">
        <v>125</v>
      </c>
      <c r="R25" s="6">
        <v>105</v>
      </c>
      <c r="S25" s="6">
        <v>111</v>
      </c>
      <c r="T25" s="6">
        <v>115</v>
      </c>
      <c r="U25" s="6">
        <v>105</v>
      </c>
      <c r="V25" s="6">
        <v>105</v>
      </c>
      <c r="W25" s="6">
        <v>108</v>
      </c>
      <c r="X25" s="6">
        <v>110</v>
      </c>
      <c r="Y25" s="6">
        <v>103</v>
      </c>
      <c r="Z25" s="6">
        <v>125</v>
      </c>
      <c r="AA25" s="6"/>
      <c r="AB25" s="6"/>
    </row>
    <row r="26" spans="1:28" x14ac:dyDescent="0.3">
      <c r="A26" s="8">
        <v>4</v>
      </c>
      <c r="B26" s="6">
        <v>106</v>
      </c>
      <c r="C26" s="6">
        <v>112</v>
      </c>
      <c r="D26" s="6">
        <v>117</v>
      </c>
      <c r="E26" s="6"/>
      <c r="F26" s="6">
        <v>119</v>
      </c>
      <c r="G26" s="6">
        <v>108</v>
      </c>
      <c r="H26" s="6">
        <v>107</v>
      </c>
      <c r="I26" s="6"/>
      <c r="J26" s="6"/>
      <c r="K26" s="6">
        <v>106</v>
      </c>
      <c r="L26" s="6">
        <v>106</v>
      </c>
      <c r="M26" s="6">
        <v>107</v>
      </c>
      <c r="N26" s="6">
        <v>115</v>
      </c>
      <c r="O26" s="6">
        <v>114</v>
      </c>
      <c r="P26" s="6"/>
      <c r="Q26" s="6">
        <v>135</v>
      </c>
      <c r="R26" s="6">
        <v>107</v>
      </c>
      <c r="S26" s="6">
        <v>111</v>
      </c>
      <c r="T26" s="6">
        <v>109</v>
      </c>
      <c r="U26" s="6">
        <v>100</v>
      </c>
      <c r="V26" s="6"/>
      <c r="W26" s="6">
        <v>106</v>
      </c>
      <c r="X26" s="6">
        <v>108</v>
      </c>
      <c r="Y26" s="6"/>
      <c r="Z26" s="6">
        <v>111</v>
      </c>
      <c r="AA26" s="6"/>
      <c r="AB26" s="6"/>
    </row>
    <row r="27" spans="1:28" x14ac:dyDescent="0.3">
      <c r="A27" s="8">
        <v>5</v>
      </c>
      <c r="B27" s="6">
        <v>109</v>
      </c>
      <c r="C27" s="6">
        <v>112</v>
      </c>
      <c r="D27" s="6">
        <v>117</v>
      </c>
      <c r="E27" s="6">
        <v>106</v>
      </c>
      <c r="F27" s="6">
        <v>131</v>
      </c>
      <c r="G27" s="6">
        <v>107</v>
      </c>
      <c r="H27" s="6">
        <v>107</v>
      </c>
      <c r="I27" s="6"/>
      <c r="J27" s="6"/>
      <c r="K27" s="6">
        <v>105</v>
      </c>
      <c r="L27" s="6">
        <v>99</v>
      </c>
      <c r="M27" s="6">
        <v>105</v>
      </c>
      <c r="N27" s="6">
        <v>113</v>
      </c>
      <c r="O27" s="6">
        <v>115</v>
      </c>
      <c r="P27" s="6"/>
      <c r="Q27" s="6">
        <v>126</v>
      </c>
      <c r="R27" s="6">
        <v>112</v>
      </c>
      <c r="S27" s="6">
        <v>109</v>
      </c>
      <c r="T27" s="6">
        <v>112</v>
      </c>
      <c r="U27" s="6">
        <v>102</v>
      </c>
      <c r="V27" s="6"/>
      <c r="W27" s="6"/>
      <c r="X27" s="6">
        <v>105</v>
      </c>
      <c r="Y27" s="6"/>
      <c r="Z27" s="6">
        <v>110</v>
      </c>
      <c r="AA27" s="6"/>
      <c r="AB27" s="6"/>
    </row>
    <row r="28" spans="1:28" x14ac:dyDescent="0.3">
      <c r="A28" s="8">
        <v>6</v>
      </c>
      <c r="B28" s="6">
        <v>101</v>
      </c>
      <c r="C28" s="6">
        <v>116</v>
      </c>
      <c r="D28" s="6">
        <v>138</v>
      </c>
      <c r="E28" s="6"/>
      <c r="F28" s="6">
        <v>124</v>
      </c>
      <c r="G28" s="6">
        <v>107</v>
      </c>
      <c r="H28" s="6">
        <v>108</v>
      </c>
      <c r="I28" s="6"/>
      <c r="J28" s="6"/>
      <c r="K28" s="6">
        <v>106</v>
      </c>
      <c r="L28" s="6"/>
      <c r="M28" s="6">
        <v>106</v>
      </c>
      <c r="N28" s="6">
        <v>121</v>
      </c>
      <c r="O28" s="6">
        <v>115</v>
      </c>
      <c r="P28" s="6"/>
      <c r="Q28" s="6">
        <v>119</v>
      </c>
      <c r="R28" s="6">
        <v>115</v>
      </c>
      <c r="S28" s="6">
        <v>110</v>
      </c>
      <c r="T28" s="6">
        <v>106</v>
      </c>
      <c r="U28" s="6">
        <v>100</v>
      </c>
      <c r="V28" s="6"/>
      <c r="W28" s="6">
        <v>101</v>
      </c>
      <c r="X28" s="6">
        <v>105</v>
      </c>
      <c r="Y28" s="6"/>
      <c r="Z28" s="6"/>
      <c r="AA28" s="6"/>
      <c r="AB28" s="6"/>
    </row>
    <row r="29" spans="1:28" x14ac:dyDescent="0.3">
      <c r="A29" s="8">
        <v>7</v>
      </c>
      <c r="B29" s="6">
        <v>100</v>
      </c>
      <c r="C29" s="6">
        <v>117</v>
      </c>
      <c r="D29" s="6">
        <v>115</v>
      </c>
      <c r="E29" s="6"/>
      <c r="F29" s="6"/>
      <c r="G29" s="6">
        <v>105</v>
      </c>
      <c r="H29" s="6">
        <v>107</v>
      </c>
      <c r="I29" s="6"/>
      <c r="J29" s="6"/>
      <c r="K29" s="6">
        <v>102</v>
      </c>
      <c r="L29" s="6">
        <v>95</v>
      </c>
      <c r="M29" s="6">
        <v>103</v>
      </c>
      <c r="N29" s="6">
        <v>120</v>
      </c>
      <c r="O29" s="6">
        <v>107</v>
      </c>
      <c r="P29" s="6"/>
      <c r="Q29" s="6">
        <v>114</v>
      </c>
      <c r="R29" s="6">
        <v>116</v>
      </c>
      <c r="S29" s="6">
        <v>109</v>
      </c>
      <c r="T29" s="6"/>
      <c r="U29" s="6">
        <v>105</v>
      </c>
      <c r="V29" s="6">
        <v>101</v>
      </c>
      <c r="W29" s="6">
        <v>99</v>
      </c>
      <c r="X29" s="6">
        <v>107</v>
      </c>
      <c r="Y29" s="6"/>
      <c r="Z29" s="6">
        <v>107</v>
      </c>
      <c r="AA29" s="6"/>
      <c r="AB29" s="6"/>
    </row>
    <row r="32" spans="1:28" x14ac:dyDescent="0.3">
      <c r="A32" s="7" t="s">
        <v>55</v>
      </c>
      <c r="B32" s="9" t="s">
        <v>49</v>
      </c>
      <c r="C32" s="9"/>
      <c r="D32" s="9"/>
      <c r="E32" s="9"/>
      <c r="F32" s="9"/>
      <c r="G32" s="9"/>
      <c r="H32" s="9"/>
      <c r="I32" s="9"/>
      <c r="J32" s="9"/>
      <c r="K32" s="9" t="s">
        <v>50</v>
      </c>
      <c r="L32" s="9"/>
      <c r="M32" s="9"/>
      <c r="N32" s="9"/>
      <c r="O32" s="9"/>
      <c r="P32" s="9"/>
      <c r="Q32" s="9"/>
      <c r="R32" s="9"/>
      <c r="S32" s="9"/>
      <c r="T32" s="9" t="s">
        <v>51</v>
      </c>
      <c r="U32" s="9"/>
      <c r="V32" s="9"/>
      <c r="W32" s="9"/>
      <c r="X32" s="9"/>
      <c r="Y32" s="9"/>
      <c r="Z32" s="9"/>
      <c r="AA32" s="9"/>
      <c r="AB32" s="9"/>
    </row>
    <row r="33" spans="1:28" x14ac:dyDescent="0.3">
      <c r="A33" s="8">
        <v>1</v>
      </c>
      <c r="B33" s="6">
        <v>3.7</v>
      </c>
      <c r="C33" s="6">
        <v>5.0999999999999996</v>
      </c>
      <c r="D33" s="6">
        <v>2.5</v>
      </c>
      <c r="E33" s="6">
        <v>4</v>
      </c>
      <c r="F33" s="6">
        <v>4.0999999999999996</v>
      </c>
      <c r="G33" s="6">
        <v>4.0999999999999996</v>
      </c>
      <c r="H33" s="6">
        <v>5.0999999999999996</v>
      </c>
      <c r="I33" s="6">
        <v>4.7</v>
      </c>
      <c r="J33" s="6">
        <v>4.5</v>
      </c>
      <c r="K33" s="6">
        <v>4.3</v>
      </c>
      <c r="L33" s="6">
        <v>4.0999999999999996</v>
      </c>
      <c r="M33" s="6">
        <v>3.7</v>
      </c>
      <c r="N33" s="6">
        <v>3.1</v>
      </c>
      <c r="O33" s="6">
        <v>3.2</v>
      </c>
      <c r="P33" s="6">
        <v>3.5</v>
      </c>
      <c r="Q33" s="6">
        <v>4.9000000000000004</v>
      </c>
      <c r="R33" s="6">
        <v>4.2</v>
      </c>
      <c r="S33" s="6">
        <v>4.5</v>
      </c>
      <c r="T33" s="6">
        <v>3.6</v>
      </c>
      <c r="U33" s="6">
        <v>3.9</v>
      </c>
      <c r="V33" s="6">
        <v>3.7</v>
      </c>
      <c r="W33" s="6">
        <v>4.2</v>
      </c>
      <c r="X33" s="6">
        <v>4</v>
      </c>
      <c r="Y33" s="6"/>
      <c r="Z33" s="6">
        <v>4.4000000000000004</v>
      </c>
      <c r="AA33" s="6"/>
      <c r="AB33" s="6"/>
    </row>
    <row r="34" spans="1:28" x14ac:dyDescent="0.3">
      <c r="A34" s="8">
        <v>2</v>
      </c>
      <c r="B34" s="6">
        <v>3.9</v>
      </c>
      <c r="C34" s="6">
        <v>3.9</v>
      </c>
      <c r="D34" s="6">
        <v>4.0999999999999996</v>
      </c>
      <c r="E34" s="6">
        <v>4.2</v>
      </c>
      <c r="F34" s="6">
        <v>4.2</v>
      </c>
      <c r="G34" s="6">
        <v>4.0999999999999996</v>
      </c>
      <c r="H34" s="6">
        <v>5.5</v>
      </c>
      <c r="I34" s="6"/>
      <c r="J34" s="6">
        <v>4.4000000000000004</v>
      </c>
      <c r="K34" s="6">
        <v>4.9000000000000004</v>
      </c>
      <c r="L34" s="6">
        <v>4.2</v>
      </c>
      <c r="M34" s="6">
        <v>3.9</v>
      </c>
      <c r="N34" s="6">
        <v>4.7</v>
      </c>
      <c r="O34" s="6">
        <v>3.9</v>
      </c>
      <c r="P34" s="6">
        <v>3.2</v>
      </c>
      <c r="Q34" s="6">
        <v>4.5</v>
      </c>
      <c r="R34" s="6">
        <v>4</v>
      </c>
      <c r="S34" s="6">
        <v>4</v>
      </c>
      <c r="T34" s="6">
        <v>4.3</v>
      </c>
      <c r="U34" s="6">
        <v>3.8</v>
      </c>
      <c r="V34" s="6">
        <v>4.4000000000000004</v>
      </c>
      <c r="W34" s="6">
        <v>4.5999999999999996</v>
      </c>
      <c r="X34" s="6">
        <v>4.0999999999999996</v>
      </c>
      <c r="Y34" s="6"/>
      <c r="Z34" s="6"/>
      <c r="AA34" s="6"/>
      <c r="AB34" s="6"/>
    </row>
    <row r="35" spans="1:28" x14ac:dyDescent="0.3">
      <c r="A35" s="8">
        <v>3</v>
      </c>
      <c r="B35" s="6">
        <v>4.0999999999999996</v>
      </c>
      <c r="C35" s="6">
        <v>3.9</v>
      </c>
      <c r="D35" s="6">
        <v>4.5</v>
      </c>
      <c r="E35" s="6">
        <v>4.5</v>
      </c>
      <c r="F35" s="6">
        <v>4.0999999999999996</v>
      </c>
      <c r="G35" s="6">
        <v>4.0999999999999996</v>
      </c>
      <c r="H35" s="6">
        <v>5.4</v>
      </c>
      <c r="I35" s="6">
        <v>4.0999999999999996</v>
      </c>
      <c r="J35" s="6"/>
      <c r="K35" s="6">
        <v>4.8</v>
      </c>
      <c r="L35" s="6">
        <v>3.8</v>
      </c>
      <c r="M35" s="6">
        <v>4.3</v>
      </c>
      <c r="N35" s="6">
        <v>4.3</v>
      </c>
      <c r="O35" s="6">
        <v>4.5</v>
      </c>
      <c r="P35" s="6"/>
      <c r="Q35" s="6">
        <v>4</v>
      </c>
      <c r="R35" s="6">
        <v>4.5</v>
      </c>
      <c r="S35" s="6">
        <v>3.9</v>
      </c>
      <c r="T35" s="6">
        <v>4.5</v>
      </c>
      <c r="U35" s="6">
        <v>4</v>
      </c>
      <c r="V35" s="6">
        <v>4.5</v>
      </c>
      <c r="W35" s="6">
        <v>4.5</v>
      </c>
      <c r="X35" s="6">
        <v>4.3</v>
      </c>
      <c r="Y35" s="6">
        <v>4</v>
      </c>
      <c r="Z35" s="6">
        <v>4.7</v>
      </c>
      <c r="AA35" s="6"/>
      <c r="AB35" s="6"/>
    </row>
    <row r="36" spans="1:28" x14ac:dyDescent="0.3">
      <c r="A36" s="8">
        <v>4</v>
      </c>
      <c r="B36" s="6">
        <v>4.3</v>
      </c>
      <c r="C36" s="6">
        <v>3.8</v>
      </c>
      <c r="D36" s="6">
        <v>3.8</v>
      </c>
      <c r="E36" s="6"/>
      <c r="F36" s="6">
        <v>4.5999999999999996</v>
      </c>
      <c r="G36" s="6">
        <v>4.3</v>
      </c>
      <c r="H36" s="6">
        <v>4.5999999999999996</v>
      </c>
      <c r="I36" s="6"/>
      <c r="J36" s="6"/>
      <c r="K36" s="6">
        <v>4.0999999999999996</v>
      </c>
      <c r="L36" s="6">
        <v>4.3</v>
      </c>
      <c r="M36" s="6">
        <v>4.0999999999999996</v>
      </c>
      <c r="N36" s="6">
        <v>4.0999999999999996</v>
      </c>
      <c r="O36" s="6">
        <v>3.9</v>
      </c>
      <c r="P36" s="6"/>
      <c r="Q36" s="6">
        <v>4.3</v>
      </c>
      <c r="R36" s="6">
        <v>3.8</v>
      </c>
      <c r="S36" s="6">
        <v>4.5</v>
      </c>
      <c r="T36" s="6">
        <v>3.9</v>
      </c>
      <c r="U36" s="6">
        <v>3.8</v>
      </c>
      <c r="V36" s="6"/>
      <c r="W36" s="6">
        <v>4.0999999999999996</v>
      </c>
      <c r="X36" s="6">
        <v>4.3</v>
      </c>
      <c r="Y36" s="6"/>
      <c r="Z36" s="6">
        <v>4.0999999999999996</v>
      </c>
      <c r="AA36" s="6"/>
      <c r="AB36" s="6"/>
    </row>
    <row r="37" spans="1:28" x14ac:dyDescent="0.3">
      <c r="A37" s="8">
        <v>5</v>
      </c>
      <c r="B37" s="6">
        <v>4.0999999999999996</v>
      </c>
      <c r="C37" s="6">
        <v>4.0999999999999996</v>
      </c>
      <c r="D37" s="6">
        <v>4.5</v>
      </c>
      <c r="E37" s="6">
        <v>3.7</v>
      </c>
      <c r="F37" s="6">
        <v>3.2</v>
      </c>
      <c r="G37" s="6">
        <v>4.4000000000000004</v>
      </c>
      <c r="H37" s="6">
        <v>4.8</v>
      </c>
      <c r="I37" s="6"/>
      <c r="J37" s="6"/>
      <c r="K37" s="6">
        <v>4</v>
      </c>
      <c r="L37" s="6">
        <v>4.5</v>
      </c>
      <c r="M37" s="6">
        <v>4.3</v>
      </c>
      <c r="N37" s="6">
        <v>3.9</v>
      </c>
      <c r="O37" s="6">
        <v>4.0999999999999996</v>
      </c>
      <c r="P37" s="6"/>
      <c r="Q37" s="6">
        <v>4.2</v>
      </c>
      <c r="R37" s="6">
        <v>4</v>
      </c>
      <c r="S37" s="6">
        <v>4.2</v>
      </c>
      <c r="T37" s="6">
        <v>4.5999999999999996</v>
      </c>
      <c r="U37" s="6">
        <v>4.0999999999999996</v>
      </c>
      <c r="V37" s="6"/>
      <c r="W37" s="6"/>
      <c r="X37" s="6">
        <v>4.5999999999999996</v>
      </c>
      <c r="Y37" s="6"/>
      <c r="Z37" s="6">
        <v>4.5999999999999996</v>
      </c>
      <c r="AA37" s="6"/>
      <c r="AB37" s="6"/>
    </row>
    <row r="38" spans="1:28" x14ac:dyDescent="0.3">
      <c r="A38" s="8">
        <v>6</v>
      </c>
      <c r="B38" s="6">
        <v>4.4000000000000004</v>
      </c>
      <c r="C38" s="6">
        <v>4.4000000000000004</v>
      </c>
      <c r="D38" s="6">
        <v>4</v>
      </c>
      <c r="E38" s="6"/>
      <c r="F38" s="6">
        <v>3.7</v>
      </c>
      <c r="G38" s="6">
        <v>4.0999999999999996</v>
      </c>
      <c r="H38" s="6">
        <v>5</v>
      </c>
      <c r="I38" s="6"/>
      <c r="J38" s="6"/>
      <c r="K38" s="6">
        <v>4.2</v>
      </c>
      <c r="L38" s="6"/>
      <c r="M38" s="6">
        <v>4</v>
      </c>
      <c r="N38" s="6">
        <v>4.5999999999999996</v>
      </c>
      <c r="O38" s="6">
        <v>4</v>
      </c>
      <c r="P38" s="6"/>
      <c r="Q38" s="6">
        <v>4.3</v>
      </c>
      <c r="R38" s="6">
        <v>4.5</v>
      </c>
      <c r="S38" s="6">
        <v>4.5</v>
      </c>
      <c r="T38" s="6">
        <v>4.5999999999999996</v>
      </c>
      <c r="U38" s="6">
        <v>4</v>
      </c>
      <c r="V38" s="6"/>
      <c r="W38" s="6">
        <v>3.2</v>
      </c>
      <c r="X38" s="6">
        <v>4.8</v>
      </c>
      <c r="Y38" s="6"/>
      <c r="Z38" s="6"/>
      <c r="AA38" s="6"/>
      <c r="AB38" s="6"/>
    </row>
    <row r="39" spans="1:28" x14ac:dyDescent="0.3">
      <c r="A39" s="8">
        <v>7</v>
      </c>
      <c r="B39" s="6">
        <v>4.5</v>
      </c>
      <c r="C39" s="6">
        <v>4.3</v>
      </c>
      <c r="D39" s="6">
        <v>4.3</v>
      </c>
      <c r="E39" s="6"/>
      <c r="F39" s="6"/>
      <c r="G39" s="6">
        <v>4.2</v>
      </c>
      <c r="H39" s="6">
        <v>7</v>
      </c>
      <c r="I39" s="6"/>
      <c r="J39" s="6"/>
      <c r="K39" s="6">
        <v>5.3</v>
      </c>
      <c r="L39" s="6">
        <v>4.5</v>
      </c>
      <c r="M39" s="6">
        <v>4.0999999999999996</v>
      </c>
      <c r="N39" s="6">
        <v>3.9</v>
      </c>
      <c r="O39" s="6">
        <v>4.5</v>
      </c>
      <c r="P39" s="6"/>
      <c r="Q39" s="6">
        <v>4.2</v>
      </c>
      <c r="R39" s="6">
        <v>4.3</v>
      </c>
      <c r="S39" s="6">
        <v>4.5999999999999996</v>
      </c>
      <c r="T39" s="6"/>
      <c r="U39" s="6">
        <v>4.4000000000000004</v>
      </c>
      <c r="V39" s="6">
        <v>4.3</v>
      </c>
      <c r="W39" s="6">
        <v>3.3</v>
      </c>
      <c r="X39" s="6">
        <v>4.2</v>
      </c>
      <c r="Y39" s="6"/>
      <c r="Z39" s="6">
        <v>4.5</v>
      </c>
      <c r="AA39" s="6"/>
      <c r="AB39" s="6"/>
    </row>
    <row r="43" spans="1:28" x14ac:dyDescent="0.3">
      <c r="A43" s="7" t="s">
        <v>56</v>
      </c>
      <c r="B43" s="9" t="s">
        <v>49</v>
      </c>
      <c r="C43" s="9"/>
      <c r="D43" s="9"/>
      <c r="E43" s="9"/>
      <c r="F43" s="9"/>
      <c r="G43" s="9"/>
      <c r="H43" s="9"/>
      <c r="I43" s="9"/>
      <c r="J43" s="9"/>
      <c r="K43" s="9" t="s">
        <v>50</v>
      </c>
      <c r="L43" s="9"/>
      <c r="M43" s="9"/>
      <c r="N43" s="9"/>
      <c r="O43" s="9"/>
      <c r="P43" s="9"/>
      <c r="Q43" s="9"/>
      <c r="R43" s="9"/>
      <c r="S43" s="9"/>
      <c r="T43" s="9" t="s">
        <v>51</v>
      </c>
      <c r="U43" s="9"/>
      <c r="V43" s="9"/>
      <c r="W43" s="9"/>
      <c r="X43" s="9"/>
      <c r="Y43" s="9"/>
      <c r="Z43" s="9"/>
      <c r="AA43" s="9"/>
      <c r="AB43" s="9"/>
    </row>
    <row r="44" spans="1:28" x14ac:dyDescent="0.3">
      <c r="A44" s="8">
        <v>1</v>
      </c>
      <c r="B44" s="6">
        <v>137</v>
      </c>
      <c r="C44" s="6">
        <v>142</v>
      </c>
      <c r="D44" s="6">
        <v>143</v>
      </c>
      <c r="E44" s="6">
        <v>135</v>
      </c>
      <c r="F44" s="6">
        <v>148</v>
      </c>
      <c r="G44" s="6">
        <v>151</v>
      </c>
      <c r="H44" s="6">
        <v>147</v>
      </c>
      <c r="I44" s="6">
        <v>154</v>
      </c>
      <c r="J44" s="6">
        <v>147</v>
      </c>
      <c r="K44" s="6">
        <v>151</v>
      </c>
      <c r="L44" s="6">
        <v>141</v>
      </c>
      <c r="M44" s="6">
        <v>149</v>
      </c>
      <c r="N44" s="6">
        <v>142</v>
      </c>
      <c r="O44" s="6">
        <v>138</v>
      </c>
      <c r="P44" s="6">
        <v>133</v>
      </c>
      <c r="Q44" s="6">
        <v>156</v>
      </c>
      <c r="R44" s="6">
        <v>135</v>
      </c>
      <c r="S44" s="6">
        <v>156</v>
      </c>
      <c r="T44" s="6">
        <v>142</v>
      </c>
      <c r="U44" s="6">
        <v>140</v>
      </c>
      <c r="V44" s="6">
        <v>149</v>
      </c>
      <c r="W44" s="6">
        <v>132</v>
      </c>
      <c r="X44" s="6">
        <v>142</v>
      </c>
      <c r="Y44" s="6">
        <v>138</v>
      </c>
      <c r="Z44" s="6">
        <v>160</v>
      </c>
      <c r="AA44" s="6"/>
      <c r="AB44" s="6"/>
    </row>
    <row r="45" spans="1:28" x14ac:dyDescent="0.3">
      <c r="A45" s="8">
        <v>2</v>
      </c>
      <c r="B45" s="6">
        <v>143</v>
      </c>
      <c r="C45" s="6">
        <v>140</v>
      </c>
      <c r="D45" s="6">
        <v>147</v>
      </c>
      <c r="E45" s="6">
        <v>139</v>
      </c>
      <c r="F45" s="6">
        <v>149</v>
      </c>
      <c r="G45" s="6">
        <v>156</v>
      </c>
      <c r="H45" s="6">
        <v>147</v>
      </c>
      <c r="I45" s="6"/>
      <c r="J45" s="6">
        <v>150</v>
      </c>
      <c r="K45" s="6">
        <v>144</v>
      </c>
      <c r="L45" s="6">
        <v>144</v>
      </c>
      <c r="M45" s="6">
        <v>150</v>
      </c>
      <c r="N45" s="6">
        <v>149</v>
      </c>
      <c r="O45" s="6">
        <v>140</v>
      </c>
      <c r="P45" s="6">
        <v>134</v>
      </c>
      <c r="Q45" s="6">
        <v>155</v>
      </c>
      <c r="R45" s="6">
        <v>142</v>
      </c>
      <c r="S45" s="6">
        <v>150</v>
      </c>
      <c r="T45" s="6">
        <v>148</v>
      </c>
      <c r="U45" s="6">
        <v>138</v>
      </c>
      <c r="V45" s="6">
        <v>145</v>
      </c>
      <c r="W45" s="6">
        <v>144</v>
      </c>
      <c r="X45" s="6">
        <v>141</v>
      </c>
      <c r="Y45" s="6"/>
      <c r="Z45" s="6"/>
      <c r="AA45" s="6"/>
      <c r="AB45" s="6"/>
    </row>
    <row r="46" spans="1:28" x14ac:dyDescent="0.3">
      <c r="A46" s="8">
        <v>3</v>
      </c>
      <c r="B46" s="6">
        <v>137</v>
      </c>
      <c r="C46" s="6">
        <v>142</v>
      </c>
      <c r="D46" s="6">
        <v>148</v>
      </c>
      <c r="E46" s="6">
        <v>138</v>
      </c>
      <c r="F46" s="6">
        <v>148</v>
      </c>
      <c r="G46" s="6">
        <v>152</v>
      </c>
      <c r="H46" s="6">
        <v>144</v>
      </c>
      <c r="I46" s="6">
        <v>145</v>
      </c>
      <c r="J46" s="6"/>
      <c r="K46" s="6">
        <v>138</v>
      </c>
      <c r="L46" s="6">
        <v>146</v>
      </c>
      <c r="M46" s="6">
        <v>147</v>
      </c>
      <c r="N46" s="6">
        <v>153</v>
      </c>
      <c r="O46" s="6">
        <v>141</v>
      </c>
      <c r="P46" s="6"/>
      <c r="Q46" s="6">
        <v>162</v>
      </c>
      <c r="R46" s="6">
        <v>142</v>
      </c>
      <c r="S46" s="6">
        <v>144</v>
      </c>
      <c r="T46" s="6">
        <v>143</v>
      </c>
      <c r="U46" s="6">
        <v>137</v>
      </c>
      <c r="V46" s="6">
        <v>141</v>
      </c>
      <c r="W46" s="6">
        <v>140</v>
      </c>
      <c r="X46" s="6">
        <v>144</v>
      </c>
      <c r="Y46" s="6">
        <v>140</v>
      </c>
      <c r="Z46" s="6">
        <v>157</v>
      </c>
      <c r="AA46" s="6"/>
      <c r="AB46" s="6"/>
    </row>
    <row r="47" spans="1:28" x14ac:dyDescent="0.3">
      <c r="A47" s="8">
        <v>4</v>
      </c>
      <c r="B47" s="6">
        <v>142</v>
      </c>
      <c r="C47" s="6">
        <v>143</v>
      </c>
      <c r="D47" s="6">
        <v>148</v>
      </c>
      <c r="E47" s="6"/>
      <c r="F47" s="6">
        <v>148</v>
      </c>
      <c r="G47" s="6">
        <v>143</v>
      </c>
      <c r="H47" s="6">
        <v>142</v>
      </c>
      <c r="I47" s="6"/>
      <c r="J47" s="6"/>
      <c r="K47" s="6">
        <v>142</v>
      </c>
      <c r="L47" s="6">
        <v>141</v>
      </c>
      <c r="M47" s="6">
        <v>144</v>
      </c>
      <c r="N47" s="6">
        <v>144</v>
      </c>
      <c r="O47" s="6">
        <v>144</v>
      </c>
      <c r="P47" s="6"/>
      <c r="Q47" s="6">
        <v>167</v>
      </c>
      <c r="R47" s="6">
        <v>143</v>
      </c>
      <c r="S47" s="6">
        <v>145</v>
      </c>
      <c r="T47" s="6">
        <v>140</v>
      </c>
      <c r="U47" s="6">
        <v>134</v>
      </c>
      <c r="V47" s="6"/>
      <c r="W47" s="6">
        <v>130</v>
      </c>
      <c r="X47" s="6">
        <v>139</v>
      </c>
      <c r="Y47" s="6"/>
      <c r="Z47" s="6">
        <v>148</v>
      </c>
      <c r="AA47" s="6"/>
      <c r="AB47" s="6"/>
    </row>
    <row r="48" spans="1:28" x14ac:dyDescent="0.3">
      <c r="A48" s="8">
        <v>5</v>
      </c>
      <c r="B48" s="6">
        <v>142</v>
      </c>
      <c r="C48" s="6">
        <v>145</v>
      </c>
      <c r="D48" s="6">
        <v>153</v>
      </c>
      <c r="E48" s="6">
        <v>143</v>
      </c>
      <c r="F48" s="6">
        <v>162</v>
      </c>
      <c r="G48" s="6">
        <v>142</v>
      </c>
      <c r="H48" s="6">
        <v>143</v>
      </c>
      <c r="I48" s="6"/>
      <c r="J48" s="6"/>
      <c r="K48" s="6">
        <v>140</v>
      </c>
      <c r="L48" s="6">
        <v>138</v>
      </c>
      <c r="M48" s="6">
        <v>143</v>
      </c>
      <c r="N48" s="6">
        <v>145</v>
      </c>
      <c r="O48" s="6">
        <v>148</v>
      </c>
      <c r="P48" s="6"/>
      <c r="Q48" s="6">
        <v>160</v>
      </c>
      <c r="R48" s="6">
        <v>146</v>
      </c>
      <c r="S48" s="6">
        <v>144</v>
      </c>
      <c r="T48" s="6">
        <v>146</v>
      </c>
      <c r="U48" s="6">
        <v>135</v>
      </c>
      <c r="V48" s="6"/>
      <c r="W48" s="6"/>
      <c r="X48" s="6">
        <v>136</v>
      </c>
      <c r="Y48" s="6"/>
      <c r="Z48" s="6">
        <v>144</v>
      </c>
      <c r="AA48" s="6"/>
      <c r="AB48" s="6"/>
    </row>
    <row r="49" spans="1:28" x14ac:dyDescent="0.3">
      <c r="A49" s="8">
        <v>6</v>
      </c>
      <c r="B49" s="6">
        <v>135</v>
      </c>
      <c r="C49" s="6">
        <v>149</v>
      </c>
      <c r="D49" s="6">
        <v>135</v>
      </c>
      <c r="E49" s="6"/>
      <c r="F49" s="6">
        <v>156</v>
      </c>
      <c r="G49" s="6">
        <v>142</v>
      </c>
      <c r="H49" s="6">
        <v>144</v>
      </c>
      <c r="I49" s="6"/>
      <c r="J49" s="6"/>
      <c r="K49" s="6">
        <v>144</v>
      </c>
      <c r="L49" s="6"/>
      <c r="M49" s="6">
        <v>142</v>
      </c>
      <c r="N49" s="6">
        <v>153</v>
      </c>
      <c r="O49" s="6">
        <v>147</v>
      </c>
      <c r="P49" s="6"/>
      <c r="Q49" s="6">
        <v>151</v>
      </c>
      <c r="R49" s="6">
        <v>149</v>
      </c>
      <c r="S49" s="6">
        <v>143</v>
      </c>
      <c r="T49" s="6">
        <v>139</v>
      </c>
      <c r="U49" s="6">
        <v>134</v>
      </c>
      <c r="V49" s="6"/>
      <c r="W49" s="6">
        <v>139</v>
      </c>
      <c r="X49" s="6">
        <v>140</v>
      </c>
      <c r="Y49" s="6"/>
      <c r="Z49" s="6"/>
      <c r="AA49" s="6"/>
      <c r="AB49" s="6"/>
    </row>
    <row r="50" spans="1:28" x14ac:dyDescent="0.3">
      <c r="A50" s="8">
        <v>7</v>
      </c>
      <c r="B50" s="6">
        <v>136</v>
      </c>
      <c r="C50" s="6">
        <v>152</v>
      </c>
      <c r="D50" s="6">
        <v>150</v>
      </c>
      <c r="E50" s="6"/>
      <c r="F50" s="6"/>
      <c r="G50" s="6">
        <v>141</v>
      </c>
      <c r="H50" s="6">
        <v>142</v>
      </c>
      <c r="I50" s="6"/>
      <c r="J50" s="6"/>
      <c r="K50" s="6">
        <v>138</v>
      </c>
      <c r="L50" s="6">
        <v>133</v>
      </c>
      <c r="M50" s="6">
        <v>140</v>
      </c>
      <c r="N50" s="6">
        <v>152</v>
      </c>
      <c r="O50" s="6">
        <v>139</v>
      </c>
      <c r="P50" s="6"/>
      <c r="Q50" s="6">
        <v>147</v>
      </c>
      <c r="R50" s="6">
        <v>151</v>
      </c>
      <c r="S50" s="6">
        <v>142</v>
      </c>
      <c r="T50" s="6"/>
      <c r="U50" s="6">
        <v>139</v>
      </c>
      <c r="V50" s="6">
        <v>140</v>
      </c>
      <c r="W50" s="6">
        <v>138</v>
      </c>
      <c r="X50" s="6">
        <v>139</v>
      </c>
      <c r="Y50" s="6"/>
      <c r="Z50" s="6">
        <v>143</v>
      </c>
      <c r="AA50" s="6"/>
      <c r="AB50" s="6"/>
    </row>
    <row r="54" spans="1:28" x14ac:dyDescent="0.3">
      <c r="A54" s="7" t="s">
        <v>57</v>
      </c>
      <c r="B54" s="9" t="s">
        <v>49</v>
      </c>
      <c r="C54" s="9"/>
      <c r="D54" s="9"/>
      <c r="E54" s="9"/>
      <c r="F54" s="9"/>
      <c r="G54" s="9"/>
      <c r="H54" s="9"/>
      <c r="I54" s="9"/>
      <c r="J54" s="9"/>
      <c r="K54" s="9" t="s">
        <v>50</v>
      </c>
      <c r="L54" s="9"/>
      <c r="M54" s="9"/>
      <c r="N54" s="9"/>
      <c r="O54" s="9"/>
      <c r="P54" s="9"/>
      <c r="Q54" s="9"/>
      <c r="R54" s="9"/>
      <c r="S54" s="9"/>
      <c r="T54" s="9" t="s">
        <v>51</v>
      </c>
      <c r="U54" s="9"/>
      <c r="V54" s="9"/>
      <c r="W54" s="9"/>
      <c r="X54" s="9"/>
      <c r="Y54" s="9"/>
      <c r="Z54" s="9"/>
      <c r="AA54" s="9"/>
      <c r="AB54" s="9"/>
    </row>
    <row r="55" spans="1:28" x14ac:dyDescent="0.3">
      <c r="A55" s="8">
        <v>1</v>
      </c>
      <c r="B55" s="6">
        <v>90</v>
      </c>
      <c r="C55" s="6">
        <v>90</v>
      </c>
      <c r="D55" s="6">
        <v>53</v>
      </c>
      <c r="E55" s="6">
        <v>90</v>
      </c>
      <c r="F55" s="6">
        <v>90</v>
      </c>
      <c r="G55" s="6">
        <v>64</v>
      </c>
      <c r="H55" s="6">
        <v>34</v>
      </c>
      <c r="I55" s="6">
        <v>75</v>
      </c>
      <c r="J55" s="6">
        <v>67</v>
      </c>
      <c r="K55" s="6">
        <v>90</v>
      </c>
      <c r="L55" s="6">
        <v>71</v>
      </c>
      <c r="M55" s="6">
        <v>90</v>
      </c>
      <c r="N55" s="6">
        <v>62</v>
      </c>
      <c r="O55" s="6">
        <v>63</v>
      </c>
      <c r="P55" s="6">
        <v>90</v>
      </c>
      <c r="Q55" s="6">
        <v>49</v>
      </c>
      <c r="R55" s="6">
        <v>68</v>
      </c>
      <c r="S55" s="6">
        <v>90</v>
      </c>
      <c r="T55" s="6">
        <v>80</v>
      </c>
      <c r="U55" s="6">
        <v>90</v>
      </c>
      <c r="V55" s="6">
        <v>90</v>
      </c>
      <c r="W55" s="6">
        <v>80</v>
      </c>
      <c r="X55" s="6">
        <v>65</v>
      </c>
      <c r="Y55" s="6">
        <v>77</v>
      </c>
      <c r="Z55" s="6">
        <v>78</v>
      </c>
      <c r="AA55" s="6"/>
      <c r="AB55" s="6"/>
    </row>
    <row r="56" spans="1:28" x14ac:dyDescent="0.3">
      <c r="A56" s="8">
        <v>2</v>
      </c>
      <c r="B56" s="6">
        <v>90</v>
      </c>
      <c r="C56" s="6">
        <v>79</v>
      </c>
      <c r="D56" s="6">
        <v>42</v>
      </c>
      <c r="E56" s="6">
        <v>72</v>
      </c>
      <c r="F56" s="6">
        <v>89</v>
      </c>
      <c r="G56" s="6">
        <v>73</v>
      </c>
      <c r="H56" s="6">
        <v>21</v>
      </c>
      <c r="I56" s="6"/>
      <c r="J56" s="6">
        <v>50</v>
      </c>
      <c r="K56" s="6">
        <v>90</v>
      </c>
      <c r="L56" s="6">
        <v>72</v>
      </c>
      <c r="M56" s="6">
        <v>90</v>
      </c>
      <c r="N56" s="6">
        <v>61</v>
      </c>
      <c r="O56" s="6">
        <v>75</v>
      </c>
      <c r="P56" s="6">
        <v>90</v>
      </c>
      <c r="Q56" s="6">
        <v>38</v>
      </c>
      <c r="R56" s="6">
        <v>90</v>
      </c>
      <c r="S56" s="6">
        <v>90</v>
      </c>
      <c r="T56" s="6">
        <v>90</v>
      </c>
      <c r="U56" s="6">
        <v>90</v>
      </c>
      <c r="V56" s="6">
        <v>88</v>
      </c>
      <c r="W56" s="6">
        <v>90</v>
      </c>
      <c r="X56" s="6">
        <v>67</v>
      </c>
      <c r="Y56" s="6"/>
      <c r="Z56" s="6"/>
      <c r="AA56" s="6"/>
      <c r="AB56" s="6"/>
    </row>
    <row r="57" spans="1:28" x14ac:dyDescent="0.3">
      <c r="A57" s="8">
        <v>3</v>
      </c>
      <c r="B57" s="6">
        <v>90</v>
      </c>
      <c r="C57" s="6">
        <v>90</v>
      </c>
      <c r="D57" s="6">
        <v>44</v>
      </c>
      <c r="E57" s="6">
        <v>66</v>
      </c>
      <c r="F57" s="6">
        <v>71</v>
      </c>
      <c r="G57" s="6">
        <v>89</v>
      </c>
      <c r="H57" s="6">
        <v>13</v>
      </c>
      <c r="I57" s="6">
        <v>65</v>
      </c>
      <c r="J57" s="6"/>
      <c r="K57" s="6">
        <v>90</v>
      </c>
      <c r="L57" s="6">
        <v>90</v>
      </c>
      <c r="M57" s="6">
        <v>90</v>
      </c>
      <c r="N57" s="6">
        <v>56</v>
      </c>
      <c r="O57" s="6">
        <v>69</v>
      </c>
      <c r="P57" s="6"/>
      <c r="Q57" s="6">
        <v>59</v>
      </c>
      <c r="R57" s="6">
        <v>84</v>
      </c>
      <c r="S57" s="6">
        <v>90</v>
      </c>
      <c r="T57" s="6">
        <v>90</v>
      </c>
      <c r="U57" s="6">
        <v>90</v>
      </c>
      <c r="V57" s="6">
        <v>75</v>
      </c>
      <c r="W57" s="6">
        <v>89</v>
      </c>
      <c r="X57" s="6">
        <v>79</v>
      </c>
      <c r="Y57" s="6">
        <v>90</v>
      </c>
      <c r="Z57" s="6">
        <v>70</v>
      </c>
      <c r="AA57" s="6"/>
      <c r="AB57" s="6"/>
    </row>
    <row r="58" spans="1:28" x14ac:dyDescent="0.3">
      <c r="A58" s="8">
        <v>4</v>
      </c>
      <c r="B58" s="6">
        <v>90</v>
      </c>
      <c r="C58" s="6">
        <v>90</v>
      </c>
      <c r="D58" s="6">
        <v>47</v>
      </c>
      <c r="E58" s="6"/>
      <c r="F58" s="6">
        <v>78</v>
      </c>
      <c r="G58" s="6">
        <v>90</v>
      </c>
      <c r="H58" s="6">
        <v>23</v>
      </c>
      <c r="I58" s="6"/>
      <c r="J58" s="6"/>
      <c r="K58" s="6">
        <v>90</v>
      </c>
      <c r="L58" s="6">
        <v>90</v>
      </c>
      <c r="M58" s="6">
        <v>90</v>
      </c>
      <c r="N58" s="6">
        <v>67</v>
      </c>
      <c r="O58" s="6">
        <v>79</v>
      </c>
      <c r="P58" s="6"/>
      <c r="Q58" s="6">
        <v>90</v>
      </c>
      <c r="R58" s="6">
        <v>90</v>
      </c>
      <c r="S58" s="6">
        <v>90</v>
      </c>
      <c r="T58" s="6">
        <v>90</v>
      </c>
      <c r="U58" s="6">
        <v>90</v>
      </c>
      <c r="V58" s="6"/>
      <c r="W58" s="6">
        <v>90</v>
      </c>
      <c r="X58" s="6">
        <v>90</v>
      </c>
      <c r="Y58" s="6"/>
      <c r="Z58" s="6">
        <v>90</v>
      </c>
      <c r="AA58" s="6"/>
      <c r="AB58" s="6"/>
    </row>
    <row r="59" spans="1:28" x14ac:dyDescent="0.3">
      <c r="A59" s="8">
        <v>5</v>
      </c>
      <c r="B59" s="6">
        <v>90</v>
      </c>
      <c r="C59" s="6">
        <v>90</v>
      </c>
      <c r="D59" s="6">
        <v>44</v>
      </c>
      <c r="E59" s="6">
        <v>90</v>
      </c>
      <c r="F59" s="6">
        <v>80</v>
      </c>
      <c r="G59" s="6">
        <v>90</v>
      </c>
      <c r="H59" s="6">
        <v>17</v>
      </c>
      <c r="I59" s="6"/>
      <c r="J59" s="6"/>
      <c r="K59" s="6">
        <v>90</v>
      </c>
      <c r="L59" s="6">
        <v>90</v>
      </c>
      <c r="M59" s="6">
        <v>90</v>
      </c>
      <c r="N59" s="6">
        <v>86</v>
      </c>
      <c r="O59" s="6">
        <v>80</v>
      </c>
      <c r="P59" s="6"/>
      <c r="Q59" s="6">
        <v>90</v>
      </c>
      <c r="R59" s="6">
        <v>90</v>
      </c>
      <c r="S59" s="6">
        <v>90</v>
      </c>
      <c r="T59" s="6">
        <v>90</v>
      </c>
      <c r="U59" s="6">
        <v>90</v>
      </c>
      <c r="V59" s="6"/>
      <c r="W59" s="6"/>
      <c r="X59" s="6">
        <v>90</v>
      </c>
      <c r="Y59" s="6"/>
      <c r="Z59" s="6">
        <v>90</v>
      </c>
      <c r="AA59" s="6"/>
      <c r="AB59" s="6"/>
    </row>
    <row r="60" spans="1:28" x14ac:dyDescent="0.3">
      <c r="A60" s="8">
        <v>6</v>
      </c>
      <c r="B60" s="6">
        <v>90</v>
      </c>
      <c r="C60" s="6">
        <v>90</v>
      </c>
      <c r="D60" s="6">
        <v>45</v>
      </c>
      <c r="E60" s="6"/>
      <c r="F60" s="6">
        <v>90</v>
      </c>
      <c r="G60" s="6">
        <v>90</v>
      </c>
      <c r="H60" s="6">
        <v>24</v>
      </c>
      <c r="I60" s="6"/>
      <c r="J60" s="6"/>
      <c r="K60" s="6">
        <v>90</v>
      </c>
      <c r="L60" s="6"/>
      <c r="M60" s="6">
        <v>90</v>
      </c>
      <c r="N60" s="6">
        <v>90</v>
      </c>
      <c r="O60" s="6">
        <v>76</v>
      </c>
      <c r="P60" s="6"/>
      <c r="Q60" s="6">
        <v>90</v>
      </c>
      <c r="R60" s="6">
        <v>90</v>
      </c>
      <c r="S60" s="6">
        <v>90</v>
      </c>
      <c r="T60" s="6">
        <v>90</v>
      </c>
      <c r="U60" s="6">
        <v>90</v>
      </c>
      <c r="V60" s="6"/>
      <c r="W60" s="6">
        <v>90</v>
      </c>
      <c r="X60" s="6">
        <v>90</v>
      </c>
      <c r="Y60" s="6"/>
      <c r="Z60" s="6"/>
      <c r="AA60" s="6"/>
      <c r="AB60" s="6"/>
    </row>
    <row r="61" spans="1:28" x14ac:dyDescent="0.3">
      <c r="A61" s="8">
        <v>7</v>
      </c>
      <c r="B61" s="6">
        <v>90</v>
      </c>
      <c r="C61" s="6">
        <v>90</v>
      </c>
      <c r="D61" s="6">
        <v>42</v>
      </c>
      <c r="E61" s="6"/>
      <c r="F61" s="6"/>
      <c r="G61" s="6">
        <v>90</v>
      </c>
      <c r="H61" s="6">
        <v>21</v>
      </c>
      <c r="I61" s="6"/>
      <c r="J61" s="6"/>
      <c r="K61" s="6">
        <v>90</v>
      </c>
      <c r="L61" s="6">
        <v>90</v>
      </c>
      <c r="M61" s="6">
        <v>90</v>
      </c>
      <c r="N61" s="6">
        <v>90</v>
      </c>
      <c r="O61" s="6">
        <v>90</v>
      </c>
      <c r="P61" s="6"/>
      <c r="Q61" s="6">
        <v>90</v>
      </c>
      <c r="R61" s="6">
        <v>90</v>
      </c>
      <c r="S61" s="6">
        <v>90</v>
      </c>
      <c r="T61" s="6"/>
      <c r="U61" s="6">
        <v>90</v>
      </c>
      <c r="V61" s="6"/>
      <c r="W61" s="6">
        <v>90</v>
      </c>
      <c r="X61" s="6">
        <v>90</v>
      </c>
      <c r="Y61" s="6"/>
      <c r="Z61" s="6">
        <v>90</v>
      </c>
      <c r="AA61" s="6"/>
      <c r="AB61" s="6"/>
    </row>
  </sheetData>
  <mergeCells count="18">
    <mergeCell ref="B43:J43"/>
    <mergeCell ref="K43:S43"/>
    <mergeCell ref="T43:AB43"/>
    <mergeCell ref="B54:J54"/>
    <mergeCell ref="K54:S54"/>
    <mergeCell ref="T54:AB54"/>
    <mergeCell ref="B22:J22"/>
    <mergeCell ref="K22:S22"/>
    <mergeCell ref="T22:AB22"/>
    <mergeCell ref="B32:J32"/>
    <mergeCell ref="K32:S32"/>
    <mergeCell ref="T32:AB32"/>
    <mergeCell ref="B1:J1"/>
    <mergeCell ref="K1:S1"/>
    <mergeCell ref="T1:AB1"/>
    <mergeCell ref="B12:J12"/>
    <mergeCell ref="K12:S12"/>
    <mergeCell ref="T12:AB1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3BD9D-9291-472B-AFE2-636F1B2FF7E5}">
  <dimension ref="A1:E18"/>
  <sheetViews>
    <sheetView workbookViewId="0">
      <selection activeCell="I6" sqref="I6"/>
    </sheetView>
  </sheetViews>
  <sheetFormatPr defaultRowHeight="14.4" x14ac:dyDescent="0.3"/>
  <sheetData>
    <row r="1" spans="1:5" x14ac:dyDescent="0.3">
      <c r="A1" t="s">
        <v>45</v>
      </c>
      <c r="D1" t="s">
        <v>46</v>
      </c>
    </row>
    <row r="2" spans="1:5" x14ac:dyDescent="0.3">
      <c r="A2" s="7" t="s">
        <v>58</v>
      </c>
      <c r="B2" s="7" t="s">
        <v>59</v>
      </c>
      <c r="D2" s="7" t="s">
        <v>58</v>
      </c>
      <c r="E2" s="7" t="s">
        <v>59</v>
      </c>
    </row>
    <row r="3" spans="1:5" x14ac:dyDescent="0.3">
      <c r="A3" s="6">
        <v>22243</v>
      </c>
      <c r="B3" s="6">
        <v>53866</v>
      </c>
      <c r="D3" s="6">
        <v>15668</v>
      </c>
      <c r="E3" s="6">
        <v>28496</v>
      </c>
    </row>
    <row r="4" spans="1:5" x14ac:dyDescent="0.3">
      <c r="A4" s="6">
        <v>132213</v>
      </c>
      <c r="B4" s="6">
        <v>56651</v>
      </c>
      <c r="D4" s="6">
        <v>34672</v>
      </c>
      <c r="E4" s="6">
        <v>43993</v>
      </c>
    </row>
    <row r="5" spans="1:5" x14ac:dyDescent="0.3">
      <c r="A5" s="6">
        <v>7630</v>
      </c>
      <c r="B5" s="6">
        <v>64937</v>
      </c>
      <c r="D5" s="6">
        <v>1166</v>
      </c>
      <c r="E5" s="6">
        <v>39000</v>
      </c>
    </row>
    <row r="6" spans="1:5" x14ac:dyDescent="0.3">
      <c r="A6" s="6">
        <v>56098</v>
      </c>
      <c r="B6" s="6">
        <v>11799</v>
      </c>
      <c r="D6" s="6">
        <v>54784</v>
      </c>
      <c r="E6" s="6">
        <v>4797</v>
      </c>
    </row>
    <row r="7" spans="1:5" x14ac:dyDescent="0.3">
      <c r="A7" s="6">
        <v>30537</v>
      </c>
      <c r="B7" s="6">
        <v>32277</v>
      </c>
      <c r="D7" s="6">
        <v>19217</v>
      </c>
      <c r="E7" s="6">
        <v>4924</v>
      </c>
    </row>
    <row r="8" spans="1:5" x14ac:dyDescent="0.3">
      <c r="A8" s="6">
        <v>30161</v>
      </c>
      <c r="B8" s="6">
        <v>70888</v>
      </c>
      <c r="D8" s="6">
        <v>15310</v>
      </c>
      <c r="E8" s="6">
        <v>30641</v>
      </c>
    </row>
    <row r="9" spans="1:5" x14ac:dyDescent="0.3">
      <c r="A9" s="6">
        <v>5948</v>
      </c>
      <c r="B9" s="6">
        <v>23045</v>
      </c>
      <c r="D9" s="6">
        <v>1273</v>
      </c>
      <c r="E9" s="6">
        <v>26853</v>
      </c>
    </row>
    <row r="10" spans="1:5" x14ac:dyDescent="0.3">
      <c r="A10" s="6">
        <v>28623</v>
      </c>
      <c r="B10" s="6">
        <v>29025</v>
      </c>
      <c r="D10" s="6">
        <v>17469</v>
      </c>
      <c r="E10" s="6">
        <v>5186</v>
      </c>
    </row>
    <row r="11" spans="1:5" x14ac:dyDescent="0.3">
      <c r="A11" s="6">
        <v>88058</v>
      </c>
      <c r="B11" s="6">
        <v>58850</v>
      </c>
      <c r="D11" s="6">
        <v>53153</v>
      </c>
      <c r="E11" s="6">
        <v>17351</v>
      </c>
    </row>
    <row r="12" spans="1:5" x14ac:dyDescent="0.3">
      <c r="A12" s="6"/>
      <c r="B12" s="6">
        <v>3054</v>
      </c>
      <c r="D12" s="6"/>
      <c r="E12" s="6">
        <v>6996</v>
      </c>
    </row>
    <row r="13" spans="1:5" x14ac:dyDescent="0.3">
      <c r="A13" s="6"/>
      <c r="B13" s="6">
        <v>43444</v>
      </c>
      <c r="D13" s="6"/>
      <c r="E13" s="6">
        <v>47942</v>
      </c>
    </row>
    <row r="14" spans="1:5" x14ac:dyDescent="0.3">
      <c r="A14" s="6"/>
      <c r="B14" s="6">
        <v>38553</v>
      </c>
      <c r="D14" s="6"/>
      <c r="E14" s="6">
        <v>23766</v>
      </c>
    </row>
    <row r="15" spans="1:5" x14ac:dyDescent="0.3">
      <c r="A15" s="6"/>
      <c r="B15" s="6">
        <v>13319</v>
      </c>
      <c r="D15" s="6"/>
      <c r="E15" s="6">
        <v>3828</v>
      </c>
    </row>
    <row r="16" spans="1:5" x14ac:dyDescent="0.3">
      <c r="A16" s="6"/>
      <c r="B16" s="6">
        <v>29898</v>
      </c>
      <c r="D16" s="6"/>
      <c r="E16" s="6">
        <v>17005</v>
      </c>
    </row>
    <row r="17" spans="1:5" x14ac:dyDescent="0.3">
      <c r="A17" s="6"/>
      <c r="B17" s="6">
        <v>1401</v>
      </c>
      <c r="D17" s="6"/>
      <c r="E17" s="6">
        <v>2058</v>
      </c>
    </row>
    <row r="18" spans="1:5" x14ac:dyDescent="0.3">
      <c r="A18" s="6"/>
      <c r="B18" s="6">
        <v>2808</v>
      </c>
      <c r="D18" s="6"/>
      <c r="E18" s="6">
        <v>2096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av values for IHC</vt:lpstr>
      <vt:lpstr>values for control WB</vt:lpstr>
      <vt:lpstr>CNP WB timecourse</vt:lpstr>
      <vt:lpstr>MBP WB timecourse</vt:lpstr>
      <vt:lpstr>GOSE1_2 transfusion</vt:lpstr>
      <vt:lpstr>GOSE3_6 transfusion</vt:lpstr>
      <vt:lpstr>GOSE1_2 DAI</vt:lpstr>
      <vt:lpstr>GOSE3_6 DAI</vt:lpstr>
      <vt:lpstr>GOSE7_8 DAI</vt:lpstr>
      <vt:lpstr>renal data</vt:lpstr>
      <vt:lpstr>coup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2026-06-06T12:58:06Z</dcterms:created>
  <dcterms:modified xsi:type="dcterms:W3CDTF">2026-06-06T13:00:32Z</dcterms:modified>
</cp:coreProperties>
</file>